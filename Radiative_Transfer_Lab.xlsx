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RT1 Optical depth" sheetId="2" state="visible" r:id="rId4"/>
    <sheet name="RT1 Intensity" sheetId="3" state="visible" r:id="rId5"/>
    <sheet name="RT2 Planck" sheetId="4" state="visible" r:id="rId6"/>
    <sheet name="RT2 Random walk" sheetId="5" state="visible" r:id="rId7"/>
    <sheet name="RT3 Slab &amp; MIT star" sheetId="6" state="visible" r:id="rId8"/>
    <sheet name="SA1 Saha-Boltzmann" sheetId="7" state="visible" r:id="rId9"/>
    <sheet name="RT4 Eddington-Barbier" sheetId="8" state="visible" r:id="rId10"/>
    <sheet name="RT4 Scattering" sheetId="9" state="visible" r:id="rId11"/>
    <sheet name="SA4 Gray atmosphere" sheetId="10" state="visible" r:id="rId12"/>
    <sheet name="SA4 Lines" sheetId="11" state="visible" r:id="rId13"/>
    <sheet name="Constants" sheetId="12" state="visible" r:id="rId14"/>
    <sheet name="Data" sheetId="13" state="visible" r:id="rId15"/>
  </sheets>
  <definedNames>
    <definedName function="false" hidden="false" name="amu" vbProcedure="false">Constants!$B$11</definedName>
    <definedName function="false" hidden="false" name="AU" vbProcedure="false">Constants!$B$16</definedName>
    <definedName function="false" hidden="false" name="cL" vbProcedure="false">Constants!$B$5</definedName>
    <definedName function="false" hidden="false" name="eV" vbProcedure="false">Constants!$B$9</definedName>
    <definedName function="false" hidden="false" name="hP" vbProcedure="false">Constants!$B$4</definedName>
    <definedName function="false" hidden="false" name="kB" vbProcedure="false">Constants!$B$6</definedName>
    <definedName function="false" hidden="false" name="Lsun" vbProcedure="false">Constants!$B$15</definedName>
    <definedName function="false" hidden="false" name="mE" vbProcedure="false">Constants!$B$8</definedName>
    <definedName function="false" hidden="false" name="mH" vbProcedure="false">Constants!$B$10</definedName>
    <definedName function="false" hidden="false" name="pc" vbProcedure="false">Constants!$B$17</definedName>
    <definedName function="false" hidden="false" name="rE" vbProcedure="false">Constants!$B$12</definedName>
    <definedName function="false" hidden="false" name="Rsun" vbProcedure="false">Constants!$B$14</definedName>
    <definedName function="false" hidden="false" name="sigSB" vbProcedure="false">Constants!$B$7</definedName>
    <definedName function="false" hidden="false" name="sigT" vbProcedure="false">Constants!$B$13</definedName>
    <definedName function="false" hidden="false" name="yr" vbProcedure="false">Constants!$B$18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Fraction of the beam removed per km. Try 0.01 to 10.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Total path through the gas. Try 0.1 to 20.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Sun 5772 K; Sirius A 9940 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Sun 1; Sirius A 1.711.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Earth 1 AU, Mars 1.524 AU, Sirius 543900 AU.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Try 3000 (red dwarf), 5772 (Sun), 10000 (A star), 30000 (O star).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Second curve on the chart.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Mass of the sphere in solar masses.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Sets the electrons per unit mass: mu_e = 2/(1+X).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Probability that an interaction destroys the photon (absorption).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Brightness of the beam entering the slab, in units of 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-58</xdr:colOff>
                <xdr:row>4</xdr:row>
                <xdr:rowOff>13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Hot, optically thick base.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-58</xdr:colOff>
                <xdr:row>4</xdr:row>
                <xdr:rowOff>13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Make it larger than T_base for a thermal inversion.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-58</xdr:colOff>
                <xdr:row>4</xdr:row>
                <xdr:rowOff>13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Optical depth at the centre of H-alpha. Try 0.1 to 100.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-58</xdr:colOff>
                <xdr:row>4</xdr:row>
                <xdr:rowOff>13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Use 0 for a thin cloud seen against empty sky.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-58</xdr:colOff>
                <xdr:row>4</xdr:row>
                <xdr:rowOff>13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Try 5772 (Sun), 9900 (A0 star), 20000 (B star).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Typical photospheres: 1 to 100 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Solar 500 nm: a = 0.36 with b = 0.64.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b &gt; 0: S increases inward -&gt; limb darkening. b &lt; 0: limb brightening.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c = 0 makes Eddington-Barbier exact.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1 = pure absorption (LTE). Try 0.1, 0.01, 0.001.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Sun 5772 K. The gray solution is self-similar in T/T_eff.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Compare 300 nm (strong darkening) with 1500 nm.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Sun 4.44; giants ~2; white dwarfs ~8.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Solar photosphere ~0.03 m^2/kg.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B = B0 (1 + beta tau). beta = 0: isothermal, no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Try 0.1 (weak), 10 (saturated), 1e5 (damping wings).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Voigt damping. Set 0 for a pure Gaussian.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Fe 55.8, Ca 40.1, Na 23.0, H 1.008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<sst xmlns="http://schemas.openxmlformats.org/spreadsheetml/2006/main" count="383" uniqueCount="315">
  <si>
    <t xml:space="preserve">Radiative Transfer Lab (spreadsheet edition)</t>
  </si>
  <si>
    <t xml:space="preserve">Companion to the two courses 'Radiative Transfer' (RT1-RT6) and 'Stellar Atmospheres' (SA1-SA5). One sheet per experiment, labelled with its lecture.</t>
  </si>
  <si>
    <t xml:space="preserve">How to use</t>
  </si>
  <si>
    <t xml:space="preserve">Yellow cell, blue text</t>
  </si>
  <si>
    <t xml:space="preserve">INPUT: type a new value here. Everything else on the sheet updates automatically.</t>
  </si>
  <si>
    <t xml:space="preserve">Light-blue cell</t>
  </si>
  <si>
    <t xml:space="preserve">RESULT: a formula computed from the inputs (do not type over it).</t>
  </si>
  <si>
    <t xml:space="preserve">Tables and charts</t>
  </si>
  <si>
    <t xml:space="preserve">Computed from the inputs with formulas; the charts redraw when you change an input.</t>
  </si>
  <si>
    <t xml:space="preserve">Cell comments</t>
  </si>
  <si>
    <t xml:space="preserve">Hover over an input cell to see what it means and a sensible range.</t>
  </si>
  <si>
    <t xml:space="preserve">Example values</t>
  </si>
  <si>
    <t xml:space="preserve">Each sheet opens with realistic example values (e.g. the Sun: T_eff = 5772 K).</t>
  </si>
  <si>
    <t xml:space="preserve">Sheets</t>
  </si>
  <si>
    <t xml:space="preserve">RT1 Optical depth</t>
  </si>
  <si>
    <t xml:space="preserve">Beam attenuation, optical depth, magnitudes of extinction</t>
  </si>
  <si>
    <t xml:space="preserve">RT1 Intensity</t>
  </si>
  <si>
    <t xml:space="preserve">Flux falls as 1/d^2, solid angle too: intensity is conserved</t>
  </si>
  <si>
    <t xml:space="preserve">RT2 Planck</t>
  </si>
  <si>
    <t xml:space="preserve">Black-body spectrum, Wien peak, Stefan-Boltzmann, RJ and Wien limits</t>
  </si>
  <si>
    <t xml:space="preserve">RT2 Random walk</t>
  </si>
  <si>
    <t xml:space="preserve">Mean free path, photon diffusion time, thermalisation depth</t>
  </si>
  <si>
    <t xml:space="preserve">RT3 Slab &amp; MIT star</t>
  </si>
  <si>
    <t xml:space="preserve">Slab solution; MIT two-layer star with Balmer + Paschen lines; thermal inversion</t>
  </si>
  <si>
    <t xml:space="preserve">SA1 Saha-Boltzmann</t>
  </si>
  <si>
    <t xml:space="preserve">Hydrogen ionisation and n=2 population; why Balmer lines peak in A stars</t>
  </si>
  <si>
    <t xml:space="preserve">RT4 Eddington-Barbier</t>
  </si>
  <si>
    <t xml:space="preserve">Emergent intensity, limb darkening, Eddington-Barbier error</t>
  </si>
  <si>
    <t xml:space="preserve">RT4 Scattering</t>
  </si>
  <si>
    <t xml:space="preserve">S = eps B + (1-eps) J: Eddington solution, sqrt(eps) law; Rosseland mean calculator</t>
  </si>
  <si>
    <t xml:space="preserve">SA4 Gray atmosphere</t>
  </si>
  <si>
    <t xml:space="preserve">Exact gray LTE model: T(tau), limb darkening at any wavelength, emergent spectrum, pressure</t>
  </si>
  <si>
    <t xml:space="preserve">SA4 Lines</t>
  </si>
  <si>
    <t xml:space="preserve">Milne-Eddington LTE line profile and curve of growth</t>
  </si>
  <si>
    <t xml:space="preserve">Constants</t>
  </si>
  <si>
    <t xml:space="preserve">Physical constants used by all formulas (named cells)</t>
  </si>
  <si>
    <t xml:space="preserve">Data</t>
  </si>
  <si>
    <t xml:space="preserve">Fixed mathematical tables from scripts/lte_solvers.py (Hopf q, E2, H-function, exact scattering)</t>
  </si>
  <si>
    <t xml:space="preserve">An interactive web version with sliders (same physics) is in app/index.html of the course repository.</t>
  </si>
  <si>
    <t xml:space="preserve">Lecture RT1 - How much light gets through a slab of gas?</t>
  </si>
  <si>
    <t xml:space="preserve">Absorption removes a fixed fraction of the beam per unit length. Optical depth counts mean free paths.</t>
  </si>
  <si>
    <t xml:space="preserve">Equation: I(s) = I(0) exp(-tau),  tau = alpha * s,  A = 1.086 tau  [mag]</t>
  </si>
  <si>
    <t xml:space="preserve">Inputs</t>
  </si>
  <si>
    <t xml:space="preserve">Absorption coefficient alpha</t>
  </si>
  <si>
    <t xml:space="preserve">per km</t>
  </si>
  <si>
    <t xml:space="preserve">Path length L</t>
  </si>
  <si>
    <t xml:space="preserve">km</t>
  </si>
  <si>
    <t xml:space="preserve">Results</t>
  </si>
  <si>
    <t xml:space="preserve">Optical depth tau = alpha L</t>
  </si>
  <si>
    <t xml:space="preserve">Transmitted fraction exp(-tau)</t>
  </si>
  <si>
    <t xml:space="preserve">Extinction A = 2.5 log10(e^tau)</t>
  </si>
  <si>
    <t xml:space="preserve">mag</t>
  </si>
  <si>
    <t xml:space="preserve">Mean free path 1/alpha</t>
  </si>
  <si>
    <t xml:space="preserve">Regime</t>
  </si>
  <si>
    <t xml:space="preserve">s [km]</t>
  </si>
  <si>
    <t xml:space="preserve">I(s)/I(0)</t>
  </si>
  <si>
    <t xml:space="preserve">Lecture RT1 - Why a star looks equally bright per square arcsecond from any distance</t>
  </si>
  <si>
    <t xml:space="preserve">Flux falls as 1/d^2, but the solid angle of the star falls in exactly the same way: their ratio, the intensity, is constant.</t>
  </si>
  <si>
    <t xml:space="preserve">Equation: F(d) = sigma T^4 (R/d)^2,  Omega = pi (R/d)^2,  I = F/Omega = sigma T^4 / pi</t>
  </si>
  <si>
    <t xml:space="preserve">Effective temperature T_eff</t>
  </si>
  <si>
    <t xml:space="preserve">K</t>
  </si>
  <si>
    <t xml:space="preserve">Stellar radius R</t>
  </si>
  <si>
    <t xml:space="preserve">R_sun</t>
  </si>
  <si>
    <t xml:space="preserve">Distance d</t>
  </si>
  <si>
    <t xml:space="preserve">AU</t>
  </si>
  <si>
    <t xml:space="preserve">Surface flux sigma T^4</t>
  </si>
  <si>
    <t xml:space="preserve">W m^-2</t>
  </si>
  <si>
    <t xml:space="preserve">(R/d)^2</t>
  </si>
  <si>
    <t xml:space="preserve">Flux received F</t>
  </si>
  <si>
    <t xml:space="preserve">Solid angle Omega</t>
  </si>
  <si>
    <t xml:space="preserve">sr</t>
  </si>
  <si>
    <t xml:space="preserve">Intensity I = F / Omega</t>
  </si>
  <si>
    <t xml:space="preserve">W m^-2 sr^-1</t>
  </si>
  <si>
    <t xml:space="preserve">Same as sigma T^4 / pi ?</t>
  </si>
  <si>
    <t xml:space="preserve">Angular diameter</t>
  </si>
  <si>
    <t xml:space="preserve">arcsec</t>
  </si>
  <si>
    <t xml:space="preserve">Luminosity</t>
  </si>
  <si>
    <t xml:space="preserve">L_sun</t>
  </si>
  <si>
    <t xml:space="preserve">d [AU]</t>
  </si>
  <si>
    <t xml:space="preserve">F / F_surface</t>
  </si>
  <si>
    <t xml:space="preserve">Omega / pi</t>
  </si>
  <si>
    <t xml:space="preserve">I / I_surface</t>
  </si>
  <si>
    <t xml:space="preserve">Lecture RT2 - How a black body changes with temperature</t>
  </si>
  <si>
    <t xml:space="preserve">Raise T: the peak moves to shorter wavelengths (Wien) and the total flux grows as T^4 (Stefan-Boltzmann).</t>
  </si>
  <si>
    <t xml:space="preserve">Equation: B_lambda(T) = 2hc^2/lambda^5 / (exp(hc/(lambda k T)) - 1);  lambda_max T = 2.898e-3 m K;  F = sigma T^4</t>
  </si>
  <si>
    <t xml:space="preserve">Temperature T</t>
  </si>
  <si>
    <t xml:space="preserve">Comparison temperature</t>
  </si>
  <si>
    <t xml:space="preserve">Peak wavelength lambda_max</t>
  </si>
  <si>
    <t xml:space="preserve">nm</t>
  </si>
  <si>
    <t xml:space="preserve">Peak frequency nu_max = 5.879e10 T</t>
  </si>
  <si>
    <t xml:space="preserve">Hz</t>
  </si>
  <si>
    <t xml:space="preserve">Flux relative to the Sun</t>
  </si>
  <si>
    <t xml:space="preserve">B_lambda at 500 nm</t>
  </si>
  <si>
    <t xml:space="preserve">W m^-3 sr^-1</t>
  </si>
  <si>
    <t xml:space="preserve">x = hc/(lambda k T) at 500 nm</t>
  </si>
  <si>
    <t xml:space="preserve">lambda [nm]</t>
  </si>
  <si>
    <t xml:space="preserve">B_lambda(T)</t>
  </si>
  <si>
    <t xml:space="preserve">B_lambda(T2)</t>
  </si>
  <si>
    <t xml:space="preserve">Rayleigh-Jeans</t>
  </si>
  <si>
    <t xml:space="preserve">Wien</t>
  </si>
  <si>
    <t xml:space="preserve">Lecture RT2 - How long does light take to leave a star?</t>
  </si>
  <si>
    <t xml:space="preserve">A scattered photon random-walks: after N steps of length l it is only sqrt(N) l away, so escaping from optical depth tau takes N ~ tau^2 steps.</t>
  </si>
  <si>
    <t xml:space="preserve">Equation: l = 1/(n sigma),  tau = R/l,  N = tau^2,  t = R^2/(l c),  thermalisation depth ~ 1/sqrt(eps)</t>
  </si>
  <si>
    <t xml:space="preserve">Inputs (default: uniform Sun, Thomson scattering)</t>
  </si>
  <si>
    <t xml:space="preserve">Mass</t>
  </si>
  <si>
    <t xml:space="preserve">M_sun</t>
  </si>
  <si>
    <t xml:space="preserve">Radius</t>
  </si>
  <si>
    <t xml:space="preserve">Hydrogen mass fraction X</t>
  </si>
  <si>
    <t xml:space="preserve">Destruction probability eps</t>
  </si>
  <si>
    <t xml:space="preserve">Mean density</t>
  </si>
  <si>
    <t xml:space="preserve">kg m^-3</t>
  </si>
  <si>
    <t xml:space="preserve">Electron density n_e = rho/(mu_e m_H)</t>
  </si>
  <si>
    <t xml:space="preserve">m^-3</t>
  </si>
  <si>
    <t xml:space="preserve">Mean free path l = 1/(n_e sigma_T)</t>
  </si>
  <si>
    <t xml:space="preserve">m</t>
  </si>
  <si>
    <t xml:space="preserve">Optical radius tau = R/l</t>
  </si>
  <si>
    <t xml:space="preserve">Number of scatterings N = tau^2</t>
  </si>
  <si>
    <t xml:space="preserve">Diffusion time R^2/(l c)</t>
  </si>
  <si>
    <t xml:space="preserve">years</t>
  </si>
  <si>
    <t xml:space="preserve">Light-crossing time R/c</t>
  </si>
  <si>
    <t xml:space="preserve">s</t>
  </si>
  <si>
    <t xml:space="preserve">Thermalisation depth 1/sqrt(eps)</t>
  </si>
  <si>
    <t xml:space="preserve">Scatterings before destruction 1/eps</t>
  </si>
  <si>
    <t xml:space="preserve">cloud tau</t>
  </si>
  <si>
    <t xml:space="preserve">N = tau^2</t>
  </si>
  <si>
    <t xml:space="preserve">escape chance ~ exp(-tau sqrt(3 eps))</t>
  </si>
  <si>
    <t xml:space="preserve">Lecture RT3 - Absorption or emission lines? A slab and the MIT 8.901 two-layer star</t>
  </si>
  <si>
    <t xml:space="preserve">The beam relaxes toward the source function. Lines are dark if the gas in front is cooler than the background, bright if hotter.</t>
  </si>
  <si>
    <t xml:space="preserve">Equation: I = I0 exp(-tau) + S (1 - exp(-tau));  I = B(T_base) exp(-tau) + B(T_top) (1 - exp(-tau))</t>
  </si>
  <si>
    <t xml:space="preserve">Part A - uniform slab</t>
  </si>
  <si>
    <t xml:space="preserve">n1</t>
  </si>
  <si>
    <t xml:space="preserve">n2</t>
  </si>
  <si>
    <t xml:space="preserve">lambda0 [nm] (Rydberg)</t>
  </si>
  <si>
    <t xml:space="preserve">relative strength</t>
  </si>
  <si>
    <t xml:space="preserve">Incoming intensity I(0)/S</t>
  </si>
  <si>
    <t xml:space="preserve">Slab optical depth tau</t>
  </si>
  <si>
    <t xml:space="preserve">Emergent I/S</t>
  </si>
  <si>
    <t xml:space="preserve">Part B - MIT two-layer star</t>
  </si>
  <si>
    <t xml:space="preserve">T_base (thick interior)</t>
  </si>
  <si>
    <t xml:space="preserve">T_top (thin upper layer)</t>
  </si>
  <si>
    <t xml:space="preserve">Line strength tau0 (H-alpha)</t>
  </si>
  <si>
    <t xml:space="preserve">Continuum optical depth tau_c</t>
  </si>
  <si>
    <t xml:space="preserve">Background: 1 = thick base, 0 = dark sky</t>
  </si>
  <si>
    <t xml:space="preserve">Results at H-alpha (656.47 nm)</t>
  </si>
  <si>
    <t xml:space="preserve">tau at line centre</t>
  </si>
  <si>
    <t xml:space="preserve">Continuum intensity</t>
  </si>
  <si>
    <t xml:space="preserve">Line-centre intensity</t>
  </si>
  <si>
    <t xml:space="preserve">Line depth 1 - I_line/I_cont</t>
  </si>
  <si>
    <t xml:space="preserve">(negative = emission)</t>
  </si>
  <si>
    <t xml:space="preserve">Line type</t>
  </si>
  <si>
    <t xml:space="preserve">tau</t>
  </si>
  <si>
    <t xml:space="preserve">I/S</t>
  </si>
  <si>
    <t xml:space="preserve">S</t>
  </si>
  <si>
    <t xml:space="preserve">tau(lambda)</t>
  </si>
  <si>
    <t xml:space="preserve">I [1e12]</t>
  </si>
  <si>
    <t xml:space="preserve">B(T_base) x bg [1e12]</t>
  </si>
  <si>
    <t xml:space="preserve">B(T_top) [1e12]</t>
  </si>
  <si>
    <t xml:space="preserve">Lecture SA1 - Why are Balmer lines strongest in A stars?</t>
  </si>
  <si>
    <t xml:space="preserve">In LTE, excitation follows Boltzmann and ionisation follows Saha. The n=2 population (Balmer absorbers) peaks near 10 000 K.</t>
  </si>
  <si>
    <t xml:space="preserve">Equation: N_II n_e / N_I = (2 U_II/U_I)(2 pi m_e k T/h^2)^1.5 exp(-13.6 eV/kT);  N2/N1 = 4 exp(-10.2 eV/kT)</t>
  </si>
  <si>
    <t xml:space="preserve">Electron pressure P_e</t>
  </si>
  <si>
    <t xml:space="preserve">Pa</t>
  </si>
  <si>
    <t xml:space="preserve">Electron density n_e = P_e/kT</t>
  </si>
  <si>
    <t xml:space="preserve">kT</t>
  </si>
  <si>
    <t xml:space="preserve">eV</t>
  </si>
  <si>
    <t xml:space="preserve">N2/N1 (Boltzmann)</t>
  </si>
  <si>
    <t xml:space="preserve">N_II/N_I (Saha)</t>
  </si>
  <si>
    <t xml:space="preserve">Ionised fraction</t>
  </si>
  <si>
    <t xml:space="preserve">N2 / N_total (Balmer absorbers)</t>
  </si>
  <si>
    <t xml:space="preserve">Temperature of the Balmer peak</t>
  </si>
  <si>
    <t xml:space="preserve">T [K]</t>
  </si>
  <si>
    <t xml:space="preserve">ionised fraction</t>
  </si>
  <si>
    <t xml:space="preserve">N2/N_total x 1e5</t>
  </si>
  <si>
    <t xml:space="preserve">Lecture RT4 - What depth do we see at each point of the stellar disk?</t>
  </si>
  <si>
    <t xml:space="preserve">The emergent intensity is S averaged with weight exp(-tau/mu)/mu. Eddington-Barbier: I(0,mu) ~ S(tau = mu), exact for linear S.</t>
  </si>
  <si>
    <t xml:space="preserve">Equation: S(tau) = a + b tau + c tau^2  -&gt;  I(0,mu) = a + b mu + 2 c mu^2;  F = pi (a + 2b/3 + c) ~ pi S(2/3)</t>
  </si>
  <si>
    <t xml:space="preserve">a (surface value of S)</t>
  </si>
  <si>
    <t xml:space="preserve">b (gradient)</t>
  </si>
  <si>
    <t xml:space="preserve">c (curvature)</t>
  </si>
  <si>
    <t xml:space="preserve">mu = cos(theta) (1 = centre, 0 = limb)</t>
  </si>
  <si>
    <t xml:space="preserve">Exact I(0,mu) = a + b mu + 2 c mu^2</t>
  </si>
  <si>
    <t xml:space="preserve">Eddington-Barbier S(tau = mu)</t>
  </si>
  <si>
    <t xml:space="preserve">Error of Eddington-Barbier</t>
  </si>
  <si>
    <t xml:space="preserve">Flux pi (a + 2b/3 + c)</t>
  </si>
  <si>
    <t xml:space="preserve">pi S(2/3)</t>
  </si>
  <si>
    <t xml:space="preserve">Limb/centre ratio I(0)/I(1)</t>
  </si>
  <si>
    <t xml:space="preserve">mu</t>
  </si>
  <si>
    <t xml:space="preserve">I(mu)/I(1)</t>
  </si>
  <si>
    <t xml:space="preserve">S(tau)</t>
  </si>
  <si>
    <t xml:space="preserve">weight exp(-tau/mu)/mu</t>
  </si>
  <si>
    <t xml:space="preserve">Lecture RT4 - Why is S below B at the surface of an isothermal scattering atmosphere?</t>
  </si>
  <si>
    <t xml:space="preserve">Photons scatter ~1/eps times before destruction and leak out within tau ~ 1/sqrt(eps) of the surface, so J and S fall below B there.</t>
  </si>
  <si>
    <t xml:space="preserve">Equation: S = eps B + (1-eps) J;  Eddington: J = B [1 - exp(-sqrt(3 eps) tau)/(1 + 2 sqrt(eps/3))];  exact: S(0) = sqrt(eps) B</t>
  </si>
  <si>
    <t xml:space="preserve">Exact S(0)/B = sqrt(eps)</t>
  </si>
  <si>
    <t xml:space="preserve">Eddington S(0)/B</t>
  </si>
  <si>
    <t xml:space="preserve">Eddington error at the surface</t>
  </si>
  <si>
    <t xml:space="preserve">Eddington thermalisation length 1/sqrt(3 eps)</t>
  </si>
  <si>
    <t xml:space="preserve">Exact numerical S(0)/B (Lambda matrix) for comparison: see sheet Data, columns I-K.</t>
  </si>
  <si>
    <t xml:space="preserve">S/B (Eddington)</t>
  </si>
  <si>
    <t xml:space="preserve">J/B (Eddington)</t>
  </si>
  <si>
    <t xml:space="preserve">Rosseland mean calculator (3 frequency bands)</t>
  </si>
  <si>
    <t xml:space="preserve">Band weights must add to 1 (fraction of dB/dT in each band).</t>
  </si>
  <si>
    <t xml:space="preserve">Weight band 1</t>
  </si>
  <si>
    <t xml:space="preserve">Weight band 2</t>
  </si>
  <si>
    <t xml:space="preserve">Weight band 3</t>
  </si>
  <si>
    <t xml:space="preserve">Opacity band 1</t>
  </si>
  <si>
    <t xml:space="preserve">m^2/kg</t>
  </si>
  <si>
    <t xml:space="preserve">Opacity band 2</t>
  </si>
  <si>
    <t xml:space="preserve">Opacity band 3</t>
  </si>
  <si>
    <t xml:space="preserve">Rosseland mean (harmonic)</t>
  </si>
  <si>
    <t xml:space="preserve">Planck-type mean (arithmetic)</t>
  </si>
  <si>
    <t xml:space="preserve">Lecture SA4 - The complete gray LTE atmosphere</t>
  </si>
  <si>
    <t xml:space="preserve">Exact solution (Hopf q, Chandrasekhar H) vs Eddington. The model scales with T_eff; limb darkening and spectrum are integrated numerically.</t>
  </si>
  <si>
    <t xml:space="preserve">Equation: T^4 = 3/4 T_eff^4 [tau + q(tau)];  I_lambda(0,mu) = Int B_lambda(T(tau)) exp(-tau/mu) dtau/mu;  F_lambda = 2 pi Int B_lambda E2 dtau;  P = g tau / kappa</t>
  </si>
  <si>
    <t xml:space="preserve">Wavelength for limb darkening</t>
  </si>
  <si>
    <t xml:space="preserve">Surface gravity log g (cgs)</t>
  </si>
  <si>
    <t xml:space="preserve">Mean opacity kappa</t>
  </si>
  <si>
    <t xml:space="preserve">Surface T(0), exact</t>
  </si>
  <si>
    <t xml:space="preserve">Surface T(0), Eddington</t>
  </si>
  <si>
    <t xml:space="preserve">T at tau = 1 (Eddington)</t>
  </si>
  <si>
    <t xml:space="preserve">Pressure at tau = 2/3: P = g tau/kappa</t>
  </si>
  <si>
    <t xml:space="preserve">Density at tau = 2/3 (mu_mol = 1.3)</t>
  </si>
  <si>
    <t xml:space="preserve">Energy check: Int F_lambda dlambda / sigma T_eff^4</t>
  </si>
  <si>
    <t xml:space="preserve">(should be ~1)</t>
  </si>
  <si>
    <t xml:space="preserve">I_lambda(0,mu)</t>
  </si>
  <si>
    <t xml:space="preserve">I/I(1) at lambda</t>
  </si>
  <si>
    <t xml:space="preserve">Eddington (2+3mu)/5</t>
  </si>
  <si>
    <t xml:space="preserve">bolometric exact</t>
  </si>
  <si>
    <t xml:space="preserve">Emergent spectrum (20 nm - 100 um, used for the energy check)</t>
  </si>
  <si>
    <t xml:space="preserve">Hopf q</t>
  </si>
  <si>
    <t xml:space="preserve">E2(tau)</t>
  </si>
  <si>
    <t xml:space="preserve">trapezoid weight</t>
  </si>
  <si>
    <t xml:space="preserve">T exact [K]</t>
  </si>
  <si>
    <t xml:space="preserve">T Eddington [K]</t>
  </si>
  <si>
    <t xml:space="preserve">B_lambda(T) at chosen lambda</t>
  </si>
  <si>
    <t xml:space="preserve">F_lambda gray LTE</t>
  </si>
  <si>
    <t xml:space="preserve">d lambda weight [m]</t>
  </si>
  <si>
    <t xml:space="preserve">pi B_lambda(T_eff)</t>
  </si>
  <si>
    <t xml:space="preserve">Lecture SA4 - How does a spectral line grow? Milne-Eddington profiles and the curve of growth</t>
  </si>
  <si>
    <t xml:space="preserve">In LTE a line is dark because we see higher, cooler layers at its frequencies. Saturation: the core cannot drop below 1/(1+2beta/3).</t>
  </si>
  <si>
    <t xml:space="preserve">Equation: F/F_c = [1 + 2beta/(3(1+eta))] / [1 + 2beta/3],  eta = eta0 H(a,v),  W = Int (1 - F/F_c) dv</t>
  </si>
  <si>
    <t xml:space="preserve">Temperature gradient beta</t>
  </si>
  <si>
    <t xml:space="preserve">Line strength eta0 (proportional to N f)</t>
  </si>
  <si>
    <t xml:space="preserve">Damping parameter a</t>
  </si>
  <si>
    <t xml:space="preserve">Gas temperature</t>
  </si>
  <si>
    <t xml:space="preserve">Atomic mass</t>
  </si>
  <si>
    <t xml:space="preserve">u</t>
  </si>
  <si>
    <t xml:space="preserve">Microturbulence xi</t>
  </si>
  <si>
    <t xml:space="preserve">km/s</t>
  </si>
  <si>
    <t xml:space="preserve">Line wavelength lambda0</t>
  </si>
  <si>
    <t xml:space="preserve">Voigt function approximated as H(a,v) ~ exp(-v^2) + a/(sqrt(pi)(1+v^2)), which is exact in the core and the far wings for a &lt;&lt; 1 (the web app uses the exact Voigt function).</t>
  </si>
  <si>
    <t xml:space="preserve">Central residual flux F/F_c</t>
  </si>
  <si>
    <t xml:space="preserve">Maximum possible depth</t>
  </si>
  <si>
    <t xml:space="preserve">Doppler velocity sqrt(2kT/m + xi^2)</t>
  </si>
  <si>
    <t xml:space="preserve">Doppler width (lambda0 v/c)</t>
  </si>
  <si>
    <t xml:space="preserve">mA</t>
  </si>
  <si>
    <t xml:space="preserve">Equivalent width W / Delta nu_D</t>
  </si>
  <si>
    <t xml:space="preserve">Equivalent width W_lambda</t>
  </si>
  <si>
    <t xml:space="preserve">Weak-line limit sqrt(pi) C eta0</t>
  </si>
  <si>
    <t xml:space="preserve">v = (nu-nu0)/Delta nu_D</t>
  </si>
  <si>
    <t xml:space="preserve">F/F_c</t>
  </si>
  <si>
    <t xml:space="preserve">eta0</t>
  </si>
  <si>
    <t xml:space="preserve">W/Dnu_D (Voigt approx.)</t>
  </si>
  <si>
    <t xml:space="preserve">W/Dnu_D (Gaussian)</t>
  </si>
  <si>
    <t xml:space="preserve">linear limit</t>
  </si>
  <si>
    <t xml:space="preserve">v (integration grid)</t>
  </si>
  <si>
    <t xml:space="preserve">weight</t>
  </si>
  <si>
    <t xml:space="preserve">Physical constants (SI, CODATA 2018)</t>
  </si>
  <si>
    <t xml:space="preserve">Constant</t>
  </si>
  <si>
    <t xml:space="preserve">Value</t>
  </si>
  <si>
    <t xml:space="preserve">Unit</t>
  </si>
  <si>
    <t xml:space="preserve">Name</t>
  </si>
  <si>
    <t xml:space="preserve">Planck constant h</t>
  </si>
  <si>
    <t xml:space="preserve">J s</t>
  </si>
  <si>
    <t xml:space="preserve">hP</t>
  </si>
  <si>
    <t xml:space="preserve">speed of light c</t>
  </si>
  <si>
    <t xml:space="preserve">m/s</t>
  </si>
  <si>
    <t xml:space="preserve">cL</t>
  </si>
  <si>
    <t xml:space="preserve">Boltzmann constant k</t>
  </si>
  <si>
    <t xml:space="preserve">J/K</t>
  </si>
  <si>
    <t xml:space="preserve">kB</t>
  </si>
  <si>
    <t xml:space="preserve">Stefan-Boltzmann sigma</t>
  </si>
  <si>
    <t xml:space="preserve">W m^-2 K^-4</t>
  </si>
  <si>
    <t xml:space="preserve">sigSB</t>
  </si>
  <si>
    <t xml:space="preserve">electron mass m_e</t>
  </si>
  <si>
    <t xml:space="preserve">kg</t>
  </si>
  <si>
    <t xml:space="preserve">mE</t>
  </si>
  <si>
    <t xml:space="preserve">electron volt</t>
  </si>
  <si>
    <t xml:space="preserve">J</t>
  </si>
  <si>
    <t xml:space="preserve">hydrogen mass m_H</t>
  </si>
  <si>
    <t xml:space="preserve">mH</t>
  </si>
  <si>
    <t xml:space="preserve">atomic mass unit</t>
  </si>
  <si>
    <t xml:space="preserve">amu</t>
  </si>
  <si>
    <t xml:space="preserve">classical electron radius r_e</t>
  </si>
  <si>
    <t xml:space="preserve">rE</t>
  </si>
  <si>
    <t xml:space="preserve">Thomson cross-section</t>
  </si>
  <si>
    <t xml:space="preserve">m^2</t>
  </si>
  <si>
    <t xml:space="preserve">sigT</t>
  </si>
  <si>
    <t xml:space="preserve">solar radius</t>
  </si>
  <si>
    <t xml:space="preserve">Rsun</t>
  </si>
  <si>
    <t xml:space="preserve">solar luminosity</t>
  </si>
  <si>
    <t xml:space="preserve">W</t>
  </si>
  <si>
    <t xml:space="preserve">Lsun</t>
  </si>
  <si>
    <t xml:space="preserve">astronomical unit</t>
  </si>
  <si>
    <t xml:space="preserve">parsec</t>
  </si>
  <si>
    <t xml:space="preserve">pc</t>
  </si>
  <si>
    <t xml:space="preserve">year</t>
  </si>
  <si>
    <t xml:space="preserve">yr</t>
  </si>
  <si>
    <t xml:space="preserve">Fixed mathematical tables (not inputs). Source: scripts/lte_solvers.py of the course repository.</t>
  </si>
  <si>
    <t xml:space="preserve">Hopf q(tau) (exact)</t>
  </si>
  <si>
    <t xml:space="preserve">H(mu) exact</t>
  </si>
  <si>
    <t xml:space="preserve">I(mu)/I(1) exact gray</t>
  </si>
  <si>
    <t xml:space="preserve">eps</t>
  </si>
  <si>
    <t xml:space="preserve">exact S(0)/B (numerical)</t>
  </si>
  <si>
    <t xml:space="preserve">sqrt(eps)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</si>
</sst>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0"/>
    <numFmt numFmtId="166" formatCode="0.0000"/>
    <numFmt numFmtId="167" formatCode="@"/>
    <numFmt numFmtId="168" formatCode="0.00"/>
    <numFmt numFmtId="169" formatCode="0.000E+00"/>
    <numFmt numFmtId="170" formatCode="0.00E+00"/>
    <numFmt numFmtId="171" formatCode="0"/>
    <numFmt numFmtId="172" formatCode="0E+00"/>
    <numFmt numFmtId="173" formatCode="0.0"/>
    <numFmt numFmtId="174" formatCode="0.0E+00"/>
    <numFmt numFmtId="175" formatCode="#,##0"/>
    <numFmt numFmtId="176" formatCode="0.00%"/>
    <numFmt numFmtId="177" formatCode="0.0%"/>
    <numFmt numFmtId="178" formatCode="0.0000E+00"/>
    <numFmt numFmtId="179" formatCode="0.000000E+00"/>
    <numFmt numFmtId="180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8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1F3A8A"/>
      <name val="Arial"/>
      <family val="0"/>
      <charset val="1"/>
    </font>
    <font>
      <i val="true"/>
      <sz val="10"/>
      <color rgb="FF1F3A8A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EF8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55555"/>
      <rgbColor rgb="FF969696"/>
      <rgbColor rgb="FF003366"/>
      <rgbColor rgb="FF1BAF7A"/>
      <rgbColor rgb="FF003300"/>
      <rgbColor rgb="FF333300"/>
      <rgbColor rgb="FF993300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Fraction of the beam left after distance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"I/I0"</c:f>
              <c:strCache>
                <c:ptCount val="1"/>
                <c:pt idx="0">
                  <c:v>I/I0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'RT1 Optical depth'!$E$17:$E$57</c:f>
              <c:numCache>
                <c:formatCode>0.00</c:formatCode>
                <c:ptCount val="41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1.35</c:v>
                </c:pt>
                <c:pt idx="10">
                  <c:v>1.5</c:v>
                </c:pt>
                <c:pt idx="11">
                  <c:v>1.65</c:v>
                </c:pt>
                <c:pt idx="12">
                  <c:v>1.8</c:v>
                </c:pt>
                <c:pt idx="13">
                  <c:v>1.95</c:v>
                </c:pt>
                <c:pt idx="14">
                  <c:v>2.1</c:v>
                </c:pt>
                <c:pt idx="15">
                  <c:v>2.25</c:v>
                </c:pt>
                <c:pt idx="16">
                  <c:v>2.4</c:v>
                </c:pt>
                <c:pt idx="17">
                  <c:v>2.55</c:v>
                </c:pt>
                <c:pt idx="18">
                  <c:v>2.7</c:v>
                </c:pt>
                <c:pt idx="19">
                  <c:v>2.85</c:v>
                </c:pt>
                <c:pt idx="20">
                  <c:v>3</c:v>
                </c:pt>
                <c:pt idx="21">
                  <c:v>3.15</c:v>
                </c:pt>
                <c:pt idx="22">
                  <c:v>3.3</c:v>
                </c:pt>
                <c:pt idx="23">
                  <c:v>3.45</c:v>
                </c:pt>
                <c:pt idx="24">
                  <c:v>3.6</c:v>
                </c:pt>
                <c:pt idx="25">
                  <c:v>3.75</c:v>
                </c:pt>
                <c:pt idx="26">
                  <c:v>3.9</c:v>
                </c:pt>
                <c:pt idx="27">
                  <c:v>4.05</c:v>
                </c:pt>
                <c:pt idx="28">
                  <c:v>4.2</c:v>
                </c:pt>
                <c:pt idx="29">
                  <c:v>4.35</c:v>
                </c:pt>
                <c:pt idx="30">
                  <c:v>4.5</c:v>
                </c:pt>
                <c:pt idx="31">
                  <c:v>4.65</c:v>
                </c:pt>
                <c:pt idx="32">
                  <c:v>4.8</c:v>
                </c:pt>
                <c:pt idx="33">
                  <c:v>4.95</c:v>
                </c:pt>
                <c:pt idx="34">
                  <c:v>5.1</c:v>
                </c:pt>
                <c:pt idx="35">
                  <c:v>5.25</c:v>
                </c:pt>
                <c:pt idx="36">
                  <c:v>5.4</c:v>
                </c:pt>
                <c:pt idx="37">
                  <c:v>5.55</c:v>
                </c:pt>
                <c:pt idx="38">
                  <c:v>5.7</c:v>
                </c:pt>
                <c:pt idx="39">
                  <c:v>5.85</c:v>
                </c:pt>
                <c:pt idx="40">
                  <c:v>6</c:v>
                </c:pt>
              </c:numCache>
            </c:numRef>
          </c:xVal>
          <c:yVal>
            <c:numRef>
              <c:f>'RT1 Optical depth'!$F$17:$F$57</c:f>
              <c:numCache>
                <c:formatCode>0.0000</c:formatCode>
                <c:ptCount val="41"/>
                <c:pt idx="0">
                  <c:v>1</c:v>
                </c:pt>
                <c:pt idx="1">
                  <c:v>0.927743486328553</c:v>
                </c:pt>
                <c:pt idx="2">
                  <c:v>0.860707976425058</c:v>
                </c:pt>
                <c:pt idx="3">
                  <c:v>0.798516218759377</c:v>
                </c:pt>
                <c:pt idx="4">
                  <c:v>0.740818220681718</c:v>
                </c:pt>
                <c:pt idx="5">
                  <c:v>0.687289278790972</c:v>
                </c:pt>
                <c:pt idx="6">
                  <c:v>0.637628151621773</c:v>
                </c:pt>
                <c:pt idx="7">
                  <c:v>0.591555364366815</c:v>
                </c:pt>
                <c:pt idx="8">
                  <c:v>0.548811636094026</c:v>
                </c:pt>
                <c:pt idx="9">
                  <c:v>0.509156420607549</c:v>
                </c:pt>
                <c:pt idx="10">
                  <c:v>0.472366552741015</c:v>
                </c:pt>
                <c:pt idx="11">
                  <c:v>0.438234992464949</c:v>
                </c:pt>
                <c:pt idx="12">
                  <c:v>0.406569659740599</c:v>
                </c:pt>
                <c:pt idx="13">
                  <c:v>0.377192353563157</c:v>
                </c:pt>
                <c:pt idx="14">
                  <c:v>0.349937749111155</c:v>
                </c:pt>
                <c:pt idx="15">
                  <c:v>0.32465246735835</c:v>
                </c:pt>
                <c:pt idx="16">
                  <c:v>0.301194211912202</c:v>
                </c:pt>
                <c:pt idx="17">
                  <c:v>0.279430968221407</c:v>
                </c:pt>
                <c:pt idx="18">
                  <c:v>0.259240260645892</c:v>
                </c:pt>
                <c:pt idx="19">
                  <c:v>0.240508463208342</c:v>
                </c:pt>
                <c:pt idx="20">
                  <c:v>0.22313016014843</c:v>
                </c:pt>
                <c:pt idx="21">
                  <c:v>0.207007552681153</c:v>
                </c:pt>
                <c:pt idx="22">
                  <c:v>0.192049908620754</c:v>
                </c:pt>
                <c:pt idx="23">
                  <c:v>0.178173051772898</c:v>
                </c:pt>
                <c:pt idx="24">
                  <c:v>0.165298888221587</c:v>
                </c:pt>
                <c:pt idx="25">
                  <c:v>0.153354966844928</c:v>
                </c:pt>
                <c:pt idx="26">
                  <c:v>0.142274071586514</c:v>
                </c:pt>
                <c:pt idx="27">
                  <c:v>0.13199384318783</c:v>
                </c:pt>
                <c:pt idx="28">
                  <c:v>0.122456428252982</c:v>
                </c:pt>
                <c:pt idx="29">
                  <c:v>0.113608153670764</c:v>
                </c:pt>
                <c:pt idx="30">
                  <c:v>0.105399224561864</c:v>
                </c:pt>
                <c:pt idx="31">
                  <c:v>0.0977834440513501</c:v>
                </c:pt>
                <c:pt idx="32">
                  <c:v>0.0907179532894125</c:v>
                </c:pt>
                <c:pt idx="33">
                  <c:v>0.0841629902573104</c:v>
                </c:pt>
                <c:pt idx="34">
                  <c:v>0.0780816660011532</c:v>
                </c:pt>
                <c:pt idx="35">
                  <c:v>0.0724397570342515</c:v>
                </c:pt>
                <c:pt idx="36">
                  <c:v>0.0672055127397498</c:v>
                </c:pt>
                <c:pt idx="37">
                  <c:v>0.0623494766896734</c:v>
                </c:pt>
                <c:pt idx="38">
                  <c:v>0.0578443208748385</c:v>
                </c:pt>
                <c:pt idx="39">
                  <c:v>0.0536646919127301</c:v>
                </c:pt>
                <c:pt idx="40">
                  <c:v>0.0497870683678639</c:v>
                </c:pt>
              </c:numCache>
            </c:numRef>
          </c:yVal>
          <c:smooth val="0"/>
        </c:ser>
        <c:axId val="32607907"/>
        <c:axId val="4105414"/>
      </c:scatterChart>
      <c:valAx>
        <c:axId val="326079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s [km]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5414"/>
        <c:crosses val="autoZero"/>
        <c:crossBetween val="midCat"/>
      </c:valAx>
      <c:valAx>
        <c:axId val="410541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I(s)/I(0)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0790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Relative to the stellar surface (log-log)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"flux F and solid angle (identical)"</c:f>
              <c:strCache>
                <c:ptCount val="1"/>
                <c:pt idx="0">
                  <c:v>flux F and solid angle (identical)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'RT1 Intensity'!$E$21:$E$53</c:f>
              <c:numCache>
                <c:formatCode>0.00E+00</c:formatCode>
                <c:ptCount val="33"/>
                <c:pt idx="0">
                  <c:v>0.01</c:v>
                </c:pt>
                <c:pt idx="1">
                  <c:v>0.0177827941003892</c:v>
                </c:pt>
                <c:pt idx="2">
                  <c:v>0.0316227766016838</c:v>
                </c:pt>
                <c:pt idx="3">
                  <c:v>0.0562341325190349</c:v>
                </c:pt>
                <c:pt idx="4">
                  <c:v>0.1</c:v>
                </c:pt>
                <c:pt idx="5">
                  <c:v>0.177827941003892</c:v>
                </c:pt>
                <c:pt idx="6">
                  <c:v>0.316227766016838</c:v>
                </c:pt>
                <c:pt idx="7">
                  <c:v>0.562341325190349</c:v>
                </c:pt>
                <c:pt idx="8">
                  <c:v>1</c:v>
                </c:pt>
                <c:pt idx="9">
                  <c:v>1.77827941003892</c:v>
                </c:pt>
                <c:pt idx="10">
                  <c:v>3.16227766016838</c:v>
                </c:pt>
                <c:pt idx="11">
                  <c:v>5.62341325190349</c:v>
                </c:pt>
                <c:pt idx="12">
                  <c:v>10</c:v>
                </c:pt>
                <c:pt idx="13">
                  <c:v>17.7827941003892</c:v>
                </c:pt>
                <c:pt idx="14">
                  <c:v>31.6227766016838</c:v>
                </c:pt>
                <c:pt idx="15">
                  <c:v>56.2341325190349</c:v>
                </c:pt>
                <c:pt idx="16">
                  <c:v>100</c:v>
                </c:pt>
                <c:pt idx="17">
                  <c:v>177.827941003892</c:v>
                </c:pt>
                <c:pt idx="18">
                  <c:v>316.227766016838</c:v>
                </c:pt>
                <c:pt idx="19">
                  <c:v>562.341325190349</c:v>
                </c:pt>
                <c:pt idx="20">
                  <c:v>1000</c:v>
                </c:pt>
                <c:pt idx="21">
                  <c:v>1778.27941003892</c:v>
                </c:pt>
                <c:pt idx="22">
                  <c:v>3162.27766016838</c:v>
                </c:pt>
                <c:pt idx="23">
                  <c:v>5623.41325190349</c:v>
                </c:pt>
                <c:pt idx="24">
                  <c:v>10000</c:v>
                </c:pt>
                <c:pt idx="25">
                  <c:v>17782.7941003892</c:v>
                </c:pt>
                <c:pt idx="26">
                  <c:v>31622.7766016838</c:v>
                </c:pt>
                <c:pt idx="27">
                  <c:v>56234.1325190349</c:v>
                </c:pt>
                <c:pt idx="28">
                  <c:v>100000</c:v>
                </c:pt>
                <c:pt idx="29">
                  <c:v>177827.941003892</c:v>
                </c:pt>
                <c:pt idx="30">
                  <c:v>316227.766016838</c:v>
                </c:pt>
                <c:pt idx="31">
                  <c:v>562341.325190349</c:v>
                </c:pt>
                <c:pt idx="32">
                  <c:v>1000000</c:v>
                </c:pt>
              </c:numCache>
            </c:numRef>
          </c:xVal>
          <c:yVal>
            <c:numRef>
              <c:f>'RT1 Intensity'!$F$21:$F$53</c:f>
              <c:numCache>
                <c:formatCode>0.00E+00</c:formatCode>
                <c:ptCount val="33"/>
                <c:pt idx="0">
                  <c:v>0.216268457452809</c:v>
                </c:pt>
                <c:pt idx="1">
                  <c:v>0.0683900911602092</c:v>
                </c:pt>
                <c:pt idx="2">
                  <c:v>0.0216268457452809</c:v>
                </c:pt>
                <c:pt idx="3">
                  <c:v>0.00683900911602093</c:v>
                </c:pt>
                <c:pt idx="4">
                  <c:v>0.00216268457452809</c:v>
                </c:pt>
                <c:pt idx="5">
                  <c:v>0.000683900911602093</c:v>
                </c:pt>
                <c:pt idx="6">
                  <c:v>0.000216268457452809</c:v>
                </c:pt>
                <c:pt idx="7">
                  <c:v>6.83900911602093E-005</c:v>
                </c:pt>
                <c:pt idx="8">
                  <c:v>2.16268457452809E-005</c:v>
                </c:pt>
                <c:pt idx="9">
                  <c:v>6.83900911602093E-006</c:v>
                </c:pt>
                <c:pt idx="10">
                  <c:v>2.16268457452809E-006</c:v>
                </c:pt>
                <c:pt idx="11">
                  <c:v>6.83900911602093E-007</c:v>
                </c:pt>
                <c:pt idx="12">
                  <c:v>2.16268457452809E-007</c:v>
                </c:pt>
                <c:pt idx="13">
                  <c:v>6.83900911602093E-008</c:v>
                </c:pt>
                <c:pt idx="14">
                  <c:v>2.16268457452809E-008</c:v>
                </c:pt>
                <c:pt idx="15">
                  <c:v>6.83900911602093E-009</c:v>
                </c:pt>
                <c:pt idx="16">
                  <c:v>2.16268457452809E-009</c:v>
                </c:pt>
                <c:pt idx="17">
                  <c:v>6.83900911602093E-010</c:v>
                </c:pt>
                <c:pt idx="18">
                  <c:v>2.16268457452809E-010</c:v>
                </c:pt>
                <c:pt idx="19">
                  <c:v>6.83900911602093E-011</c:v>
                </c:pt>
                <c:pt idx="20">
                  <c:v>2.16268457452809E-011</c:v>
                </c:pt>
                <c:pt idx="21">
                  <c:v>6.83900911602092E-012</c:v>
                </c:pt>
                <c:pt idx="22">
                  <c:v>2.16268457452809E-012</c:v>
                </c:pt>
                <c:pt idx="23">
                  <c:v>6.83900911602093E-013</c:v>
                </c:pt>
                <c:pt idx="24">
                  <c:v>2.16268457452809E-013</c:v>
                </c:pt>
                <c:pt idx="25">
                  <c:v>6.83900911602093E-014</c:v>
                </c:pt>
                <c:pt idx="26">
                  <c:v>2.16268457452809E-014</c:v>
                </c:pt>
                <c:pt idx="27">
                  <c:v>6.83900911602093E-015</c:v>
                </c:pt>
                <c:pt idx="28">
                  <c:v>2.16268457452809E-015</c:v>
                </c:pt>
                <c:pt idx="29">
                  <c:v>6.83900911602093E-016</c:v>
                </c:pt>
                <c:pt idx="30">
                  <c:v>2.16268457452809E-016</c:v>
                </c:pt>
                <c:pt idx="31">
                  <c:v>6.83900911602093E-017</c:v>
                </c:pt>
                <c:pt idx="32">
                  <c:v>2.16268457452809E-017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"intensity I"</c:f>
              <c:strCache>
                <c:ptCount val="1"/>
                <c:pt idx="0">
                  <c:v>intensity I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'RT1 Intensity'!$E$21:$E$53</c:f>
              <c:numCache>
                <c:formatCode>0.00E+00</c:formatCode>
                <c:ptCount val="33"/>
                <c:pt idx="0">
                  <c:v>0.01</c:v>
                </c:pt>
                <c:pt idx="1">
                  <c:v>0.0177827941003892</c:v>
                </c:pt>
                <c:pt idx="2">
                  <c:v>0.0316227766016838</c:v>
                </c:pt>
                <c:pt idx="3">
                  <c:v>0.0562341325190349</c:v>
                </c:pt>
                <c:pt idx="4">
                  <c:v>0.1</c:v>
                </c:pt>
                <c:pt idx="5">
                  <c:v>0.177827941003892</c:v>
                </c:pt>
                <c:pt idx="6">
                  <c:v>0.316227766016838</c:v>
                </c:pt>
                <c:pt idx="7">
                  <c:v>0.562341325190349</c:v>
                </c:pt>
                <c:pt idx="8">
                  <c:v>1</c:v>
                </c:pt>
                <c:pt idx="9">
                  <c:v>1.77827941003892</c:v>
                </c:pt>
                <c:pt idx="10">
                  <c:v>3.16227766016838</c:v>
                </c:pt>
                <c:pt idx="11">
                  <c:v>5.62341325190349</c:v>
                </c:pt>
                <c:pt idx="12">
                  <c:v>10</c:v>
                </c:pt>
                <c:pt idx="13">
                  <c:v>17.7827941003892</c:v>
                </c:pt>
                <c:pt idx="14">
                  <c:v>31.6227766016838</c:v>
                </c:pt>
                <c:pt idx="15">
                  <c:v>56.2341325190349</c:v>
                </c:pt>
                <c:pt idx="16">
                  <c:v>100</c:v>
                </c:pt>
                <c:pt idx="17">
                  <c:v>177.827941003892</c:v>
                </c:pt>
                <c:pt idx="18">
                  <c:v>316.227766016838</c:v>
                </c:pt>
                <c:pt idx="19">
                  <c:v>562.341325190349</c:v>
                </c:pt>
                <c:pt idx="20">
                  <c:v>1000</c:v>
                </c:pt>
                <c:pt idx="21">
                  <c:v>1778.27941003892</c:v>
                </c:pt>
                <c:pt idx="22">
                  <c:v>3162.27766016838</c:v>
                </c:pt>
                <c:pt idx="23">
                  <c:v>5623.41325190349</c:v>
                </c:pt>
                <c:pt idx="24">
                  <c:v>10000</c:v>
                </c:pt>
                <c:pt idx="25">
                  <c:v>17782.7941003892</c:v>
                </c:pt>
                <c:pt idx="26">
                  <c:v>31622.7766016838</c:v>
                </c:pt>
                <c:pt idx="27">
                  <c:v>56234.1325190349</c:v>
                </c:pt>
                <c:pt idx="28">
                  <c:v>100000</c:v>
                </c:pt>
                <c:pt idx="29">
                  <c:v>177827.941003892</c:v>
                </c:pt>
                <c:pt idx="30">
                  <c:v>316227.766016838</c:v>
                </c:pt>
                <c:pt idx="31">
                  <c:v>562341.325190349</c:v>
                </c:pt>
                <c:pt idx="32">
                  <c:v>1000000</c:v>
                </c:pt>
              </c:numCache>
            </c:numRef>
          </c:xVal>
          <c:yVal>
            <c:numRef>
              <c:f>'RT1 Intensity'!$H$21:$H$53</c:f>
              <c:numCache>
                <c:formatCode>0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yVal>
          <c:smooth val="0"/>
        </c:ser>
        <c:axId val="60181612"/>
        <c:axId val="17782534"/>
      </c:scatterChart>
      <c:valAx>
        <c:axId val="6018161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d [AU]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2534"/>
        <c:crosses val="autoZero"/>
        <c:crossBetween val="midCat"/>
      </c:valAx>
      <c:valAx>
        <c:axId val="17782534"/>
        <c:scaling>
          <c:logBase val="10"/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/ surface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E+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8161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Planck function B_lambda (linear axes)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"B_lambda(T)"</c:f>
              <c:strCache>
                <c:ptCount val="1"/>
                <c:pt idx="0">
                  <c:v>B_lambda(T)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Planck'!$E$18:$E$77</c:f>
              <c:numCache>
                <c:formatCode>0.0</c:formatCode>
                <c:ptCount val="60"/>
                <c:pt idx="0">
                  <c:v>100</c:v>
                </c:pt>
                <c:pt idx="1">
                  <c:v>106.86</c:v>
                </c:pt>
                <c:pt idx="2">
                  <c:v>114.18</c:v>
                </c:pt>
                <c:pt idx="3">
                  <c:v>122.01</c:v>
                </c:pt>
                <c:pt idx="4">
                  <c:v>130.37</c:v>
                </c:pt>
                <c:pt idx="5">
                  <c:v>139.31</c:v>
                </c:pt>
                <c:pt idx="6">
                  <c:v>148.86</c:v>
                </c:pt>
                <c:pt idx="7">
                  <c:v>159.06</c:v>
                </c:pt>
                <c:pt idx="8">
                  <c:v>169.97</c:v>
                </c:pt>
                <c:pt idx="9">
                  <c:v>181.62</c:v>
                </c:pt>
                <c:pt idx="10">
                  <c:v>194.07</c:v>
                </c:pt>
                <c:pt idx="11">
                  <c:v>207.38</c:v>
                </c:pt>
                <c:pt idx="12">
                  <c:v>221.59</c:v>
                </c:pt>
                <c:pt idx="13">
                  <c:v>236.78</c:v>
                </c:pt>
                <c:pt idx="14">
                  <c:v>253.01</c:v>
                </c:pt>
                <c:pt idx="15">
                  <c:v>270.36</c:v>
                </c:pt>
                <c:pt idx="16">
                  <c:v>288.89</c:v>
                </c:pt>
                <c:pt idx="17">
                  <c:v>308.7</c:v>
                </c:pt>
                <c:pt idx="18">
                  <c:v>329.86</c:v>
                </c:pt>
                <c:pt idx="19">
                  <c:v>352.47</c:v>
                </c:pt>
                <c:pt idx="20">
                  <c:v>376.64</c:v>
                </c:pt>
                <c:pt idx="21">
                  <c:v>402.46</c:v>
                </c:pt>
                <c:pt idx="22">
                  <c:v>430.05</c:v>
                </c:pt>
                <c:pt idx="23">
                  <c:v>459.53</c:v>
                </c:pt>
                <c:pt idx="24">
                  <c:v>491.03</c:v>
                </c:pt>
                <c:pt idx="25">
                  <c:v>524.69</c:v>
                </c:pt>
                <c:pt idx="26">
                  <c:v>560.66</c:v>
                </c:pt>
                <c:pt idx="27">
                  <c:v>599.09</c:v>
                </c:pt>
                <c:pt idx="28">
                  <c:v>640.16</c:v>
                </c:pt>
                <c:pt idx="29">
                  <c:v>684.05</c:v>
                </c:pt>
                <c:pt idx="30">
                  <c:v>730.94</c:v>
                </c:pt>
                <c:pt idx="31">
                  <c:v>781.05</c:v>
                </c:pt>
                <c:pt idx="32">
                  <c:v>834.59</c:v>
                </c:pt>
                <c:pt idx="33">
                  <c:v>891.81</c:v>
                </c:pt>
                <c:pt idx="34">
                  <c:v>952.94</c:v>
                </c:pt>
                <c:pt idx="35">
                  <c:v>1018.27</c:v>
                </c:pt>
                <c:pt idx="36">
                  <c:v>1088.08</c:v>
                </c:pt>
                <c:pt idx="37">
                  <c:v>1162.67</c:v>
                </c:pt>
                <c:pt idx="38">
                  <c:v>1242.37</c:v>
                </c:pt>
                <c:pt idx="39">
                  <c:v>1327.54</c:v>
                </c:pt>
                <c:pt idx="40">
                  <c:v>1418.55</c:v>
                </c:pt>
                <c:pt idx="41">
                  <c:v>1515.79</c:v>
                </c:pt>
                <c:pt idx="42">
                  <c:v>1619.71</c:v>
                </c:pt>
                <c:pt idx="43">
                  <c:v>1730.74</c:v>
                </c:pt>
                <c:pt idx="44">
                  <c:v>1849.39</c:v>
                </c:pt>
                <c:pt idx="45">
                  <c:v>1976.17</c:v>
                </c:pt>
                <c:pt idx="46">
                  <c:v>2111.64</c:v>
                </c:pt>
                <c:pt idx="47">
                  <c:v>2256.4</c:v>
                </c:pt>
                <c:pt idx="48">
                  <c:v>2411.09</c:v>
                </c:pt>
                <c:pt idx="49">
                  <c:v>2576.37</c:v>
                </c:pt>
                <c:pt idx="50">
                  <c:v>2752.99</c:v>
                </c:pt>
                <c:pt idx="51">
                  <c:v>2941.72</c:v>
                </c:pt>
                <c:pt idx="52">
                  <c:v>3143.38</c:v>
                </c:pt>
                <c:pt idx="53">
                  <c:v>3358.87</c:v>
                </c:pt>
                <c:pt idx="54">
                  <c:v>3589.13</c:v>
                </c:pt>
                <c:pt idx="55">
                  <c:v>3835.18</c:v>
                </c:pt>
                <c:pt idx="56">
                  <c:v>4098.09</c:v>
                </c:pt>
                <c:pt idx="57">
                  <c:v>4379.03</c:v>
                </c:pt>
                <c:pt idx="58">
                  <c:v>4679.22</c:v>
                </c:pt>
                <c:pt idx="59">
                  <c:v>5000</c:v>
                </c:pt>
              </c:numCache>
            </c:numRef>
          </c:xVal>
          <c:yVal>
            <c:numRef>
              <c:f>'RT2 Planck'!$F$18:$F$77</c:f>
              <c:numCache>
                <c:formatCode>0.000E+00</c:formatCode>
                <c:ptCount val="60"/>
                <c:pt idx="0">
                  <c:v>177967553.506997</c:v>
                </c:pt>
                <c:pt idx="1">
                  <c:v>632740892.380811</c:v>
                </c:pt>
                <c:pt idx="2">
                  <c:v>2026837312.40669</c:v>
                </c:pt>
                <c:pt idx="3">
                  <c:v>5905353865.46676</c:v>
                </c:pt>
                <c:pt idx="4">
                  <c:v>15714425938.2177</c:v>
                </c:pt>
                <c:pt idx="5">
                  <c:v>38472895739.4583</c:v>
                </c:pt>
                <c:pt idx="6">
                  <c:v>87038211564.5757</c:v>
                </c:pt>
                <c:pt idx="7">
                  <c:v>182871433600.426</c:v>
                </c:pt>
                <c:pt idx="8">
                  <c:v>358880750819.911</c:v>
                </c:pt>
                <c:pt idx="9">
                  <c:v>659993864972.329</c:v>
                </c:pt>
                <c:pt idx="10">
                  <c:v>1142746810395.47</c:v>
                </c:pt>
                <c:pt idx="11">
                  <c:v>1870366150747.54</c:v>
                </c:pt>
                <c:pt idx="12">
                  <c:v>2902480612923.33</c:v>
                </c:pt>
                <c:pt idx="13">
                  <c:v>4287576416644.72</c:v>
                </c:pt>
                <c:pt idx="14">
                  <c:v>6047042107209.56</c:v>
                </c:pt>
                <c:pt idx="15">
                  <c:v>8168091485074.7</c:v>
                </c:pt>
                <c:pt idx="16">
                  <c:v>10593478221122.8</c:v>
                </c:pt>
                <c:pt idx="17">
                  <c:v>13229661215939</c:v>
                </c:pt>
                <c:pt idx="18">
                  <c:v>15945313388664.1</c:v>
                </c:pt>
                <c:pt idx="19">
                  <c:v>18592402103270.3</c:v>
                </c:pt>
                <c:pt idx="20">
                  <c:v>21019516597091.2</c:v>
                </c:pt>
                <c:pt idx="21">
                  <c:v>23085946746738</c:v>
                </c:pt>
                <c:pt idx="22">
                  <c:v>24681348268065.5</c:v>
                </c:pt>
                <c:pt idx="23">
                  <c:v>25732449156889.8</c:v>
                </c:pt>
                <c:pt idx="24">
                  <c:v>26208225778015.7</c:v>
                </c:pt>
                <c:pt idx="25">
                  <c:v>26118576859188.5</c:v>
                </c:pt>
                <c:pt idx="26">
                  <c:v>25508635083856.4</c:v>
                </c:pt>
                <c:pt idx="27">
                  <c:v>24450534739151.1</c:v>
                </c:pt>
                <c:pt idx="28">
                  <c:v>23032770011680.9</c:v>
                </c:pt>
                <c:pt idx="29">
                  <c:v>21351211740582.1</c:v>
                </c:pt>
                <c:pt idx="30">
                  <c:v>19501016031007.3</c:v>
                </c:pt>
                <c:pt idx="31">
                  <c:v>17568533812077.9</c:v>
                </c:pt>
                <c:pt idx="32">
                  <c:v>15628981120970.3</c:v>
                </c:pt>
                <c:pt idx="33">
                  <c:v>13742367973583.9</c:v>
                </c:pt>
                <c:pt idx="34">
                  <c:v>11955065867452.2</c:v>
                </c:pt>
                <c:pt idx="35">
                  <c:v>10298041358375.8</c:v>
                </c:pt>
                <c:pt idx="36">
                  <c:v>8790684018303.82</c:v>
                </c:pt>
                <c:pt idx="37">
                  <c:v>7441875457520.55</c:v>
                </c:pt>
                <c:pt idx="38">
                  <c:v>6252103474476.47</c:v>
                </c:pt>
                <c:pt idx="39">
                  <c:v>5215741061181.37</c:v>
                </c:pt>
                <c:pt idx="40">
                  <c:v>4323201777756.76</c:v>
                </c:pt>
                <c:pt idx="41">
                  <c:v>3562311909621.39</c:v>
                </c:pt>
                <c:pt idx="42">
                  <c:v>2919347055982.14</c:v>
                </c:pt>
                <c:pt idx="43">
                  <c:v>2380571177054.06</c:v>
                </c:pt>
                <c:pt idx="44">
                  <c:v>1932307867894.56</c:v>
                </c:pt>
                <c:pt idx="45">
                  <c:v>1561856455569.02</c:v>
                </c:pt>
                <c:pt idx="46">
                  <c:v>1257536284468.72</c:v>
                </c:pt>
                <c:pt idx="47">
                  <c:v>1008895448645.1</c:v>
                </c:pt>
                <c:pt idx="48">
                  <c:v>806750519417.823</c:v>
                </c:pt>
                <c:pt idx="49">
                  <c:v>643168358646.74</c:v>
                </c:pt>
                <c:pt idx="50">
                  <c:v>511318364975.353</c:v>
                </c:pt>
                <c:pt idx="51">
                  <c:v>405450661054.979</c:v>
                </c:pt>
                <c:pt idx="52">
                  <c:v>320742095467.485</c:v>
                </c:pt>
                <c:pt idx="53">
                  <c:v>253173140768.025</c:v>
                </c:pt>
                <c:pt idx="54">
                  <c:v>199434066877.718</c:v>
                </c:pt>
                <c:pt idx="55">
                  <c:v>156806639523.361</c:v>
                </c:pt>
                <c:pt idx="56">
                  <c:v>123077615573.688</c:v>
                </c:pt>
                <c:pt idx="57">
                  <c:v>96448131167.9696</c:v>
                </c:pt>
                <c:pt idx="58">
                  <c:v>75468556457.111</c:v>
                </c:pt>
                <c:pt idx="59">
                  <c:v>58970693975.4761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"B_lambda(comparison T)"</c:f>
              <c:strCache>
                <c:ptCount val="1"/>
                <c:pt idx="0">
                  <c:v>B_lambda(comparison T)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Planck'!$E$18:$E$77</c:f>
              <c:numCache>
                <c:formatCode>0.0</c:formatCode>
                <c:ptCount val="60"/>
                <c:pt idx="0">
                  <c:v>100</c:v>
                </c:pt>
                <c:pt idx="1">
                  <c:v>106.86</c:v>
                </c:pt>
                <c:pt idx="2">
                  <c:v>114.18</c:v>
                </c:pt>
                <c:pt idx="3">
                  <c:v>122.01</c:v>
                </c:pt>
                <c:pt idx="4">
                  <c:v>130.37</c:v>
                </c:pt>
                <c:pt idx="5">
                  <c:v>139.31</c:v>
                </c:pt>
                <c:pt idx="6">
                  <c:v>148.86</c:v>
                </c:pt>
                <c:pt idx="7">
                  <c:v>159.06</c:v>
                </c:pt>
                <c:pt idx="8">
                  <c:v>169.97</c:v>
                </c:pt>
                <c:pt idx="9">
                  <c:v>181.62</c:v>
                </c:pt>
                <c:pt idx="10">
                  <c:v>194.07</c:v>
                </c:pt>
                <c:pt idx="11">
                  <c:v>207.38</c:v>
                </c:pt>
                <c:pt idx="12">
                  <c:v>221.59</c:v>
                </c:pt>
                <c:pt idx="13">
                  <c:v>236.78</c:v>
                </c:pt>
                <c:pt idx="14">
                  <c:v>253.01</c:v>
                </c:pt>
                <c:pt idx="15">
                  <c:v>270.36</c:v>
                </c:pt>
                <c:pt idx="16">
                  <c:v>288.89</c:v>
                </c:pt>
                <c:pt idx="17">
                  <c:v>308.7</c:v>
                </c:pt>
                <c:pt idx="18">
                  <c:v>329.86</c:v>
                </c:pt>
                <c:pt idx="19">
                  <c:v>352.47</c:v>
                </c:pt>
                <c:pt idx="20">
                  <c:v>376.64</c:v>
                </c:pt>
                <c:pt idx="21">
                  <c:v>402.46</c:v>
                </c:pt>
                <c:pt idx="22">
                  <c:v>430.05</c:v>
                </c:pt>
                <c:pt idx="23">
                  <c:v>459.53</c:v>
                </c:pt>
                <c:pt idx="24">
                  <c:v>491.03</c:v>
                </c:pt>
                <c:pt idx="25">
                  <c:v>524.69</c:v>
                </c:pt>
                <c:pt idx="26">
                  <c:v>560.66</c:v>
                </c:pt>
                <c:pt idx="27">
                  <c:v>599.09</c:v>
                </c:pt>
                <c:pt idx="28">
                  <c:v>640.16</c:v>
                </c:pt>
                <c:pt idx="29">
                  <c:v>684.05</c:v>
                </c:pt>
                <c:pt idx="30">
                  <c:v>730.94</c:v>
                </c:pt>
                <c:pt idx="31">
                  <c:v>781.05</c:v>
                </c:pt>
                <c:pt idx="32">
                  <c:v>834.59</c:v>
                </c:pt>
                <c:pt idx="33">
                  <c:v>891.81</c:v>
                </c:pt>
                <c:pt idx="34">
                  <c:v>952.94</c:v>
                </c:pt>
                <c:pt idx="35">
                  <c:v>1018.27</c:v>
                </c:pt>
                <c:pt idx="36">
                  <c:v>1088.08</c:v>
                </c:pt>
                <c:pt idx="37">
                  <c:v>1162.67</c:v>
                </c:pt>
                <c:pt idx="38">
                  <c:v>1242.37</c:v>
                </c:pt>
                <c:pt idx="39">
                  <c:v>1327.54</c:v>
                </c:pt>
                <c:pt idx="40">
                  <c:v>1418.55</c:v>
                </c:pt>
                <c:pt idx="41">
                  <c:v>1515.79</c:v>
                </c:pt>
                <c:pt idx="42">
                  <c:v>1619.71</c:v>
                </c:pt>
                <c:pt idx="43">
                  <c:v>1730.74</c:v>
                </c:pt>
                <c:pt idx="44">
                  <c:v>1849.39</c:v>
                </c:pt>
                <c:pt idx="45">
                  <c:v>1976.17</c:v>
                </c:pt>
                <c:pt idx="46">
                  <c:v>2111.64</c:v>
                </c:pt>
                <c:pt idx="47">
                  <c:v>2256.4</c:v>
                </c:pt>
                <c:pt idx="48">
                  <c:v>2411.09</c:v>
                </c:pt>
                <c:pt idx="49">
                  <c:v>2576.37</c:v>
                </c:pt>
                <c:pt idx="50">
                  <c:v>2752.99</c:v>
                </c:pt>
                <c:pt idx="51">
                  <c:v>2941.72</c:v>
                </c:pt>
                <c:pt idx="52">
                  <c:v>3143.38</c:v>
                </c:pt>
                <c:pt idx="53">
                  <c:v>3358.87</c:v>
                </c:pt>
                <c:pt idx="54">
                  <c:v>3589.13</c:v>
                </c:pt>
                <c:pt idx="55">
                  <c:v>3835.18</c:v>
                </c:pt>
                <c:pt idx="56">
                  <c:v>4098.09</c:v>
                </c:pt>
                <c:pt idx="57">
                  <c:v>4379.03</c:v>
                </c:pt>
                <c:pt idx="58">
                  <c:v>4679.22</c:v>
                </c:pt>
                <c:pt idx="59">
                  <c:v>5000</c:v>
                </c:pt>
              </c:numCache>
            </c:numRef>
          </c:xVal>
          <c:yVal>
            <c:numRef>
              <c:f>'RT2 Planck'!$G$18:$G$77</c:f>
              <c:numCache>
                <c:formatCode>0.000E+00</c:formatCode>
                <c:ptCount val="60"/>
                <c:pt idx="0">
                  <c:v>177967553.506997</c:v>
                </c:pt>
                <c:pt idx="1">
                  <c:v>632740892.380811</c:v>
                </c:pt>
                <c:pt idx="2">
                  <c:v>2026837312.40669</c:v>
                </c:pt>
                <c:pt idx="3">
                  <c:v>5905353865.46676</c:v>
                </c:pt>
                <c:pt idx="4">
                  <c:v>15714425938.2177</c:v>
                </c:pt>
                <c:pt idx="5">
                  <c:v>38472895739.4583</c:v>
                </c:pt>
                <c:pt idx="6">
                  <c:v>87038211564.5757</c:v>
                </c:pt>
                <c:pt idx="7">
                  <c:v>182871433600.426</c:v>
                </c:pt>
                <c:pt idx="8">
                  <c:v>358880750819.911</c:v>
                </c:pt>
                <c:pt idx="9">
                  <c:v>659993864972.329</c:v>
                </c:pt>
                <c:pt idx="10">
                  <c:v>1142746810395.47</c:v>
                </c:pt>
                <c:pt idx="11">
                  <c:v>1870366150747.54</c:v>
                </c:pt>
                <c:pt idx="12">
                  <c:v>2902480612923.33</c:v>
                </c:pt>
                <c:pt idx="13">
                  <c:v>4287576416644.72</c:v>
                </c:pt>
                <c:pt idx="14">
                  <c:v>6047042107209.56</c:v>
                </c:pt>
                <c:pt idx="15">
                  <c:v>8168091485074.7</c:v>
                </c:pt>
                <c:pt idx="16">
                  <c:v>10593478221122.8</c:v>
                </c:pt>
                <c:pt idx="17">
                  <c:v>13229661215939</c:v>
                </c:pt>
                <c:pt idx="18">
                  <c:v>15945313388664.1</c:v>
                </c:pt>
                <c:pt idx="19">
                  <c:v>18592402103270.3</c:v>
                </c:pt>
                <c:pt idx="20">
                  <c:v>21019516597091.2</c:v>
                </c:pt>
                <c:pt idx="21">
                  <c:v>23085946746738</c:v>
                </c:pt>
                <c:pt idx="22">
                  <c:v>24681348268065.5</c:v>
                </c:pt>
                <c:pt idx="23">
                  <c:v>25732449156889.8</c:v>
                </c:pt>
                <c:pt idx="24">
                  <c:v>26208225778015.7</c:v>
                </c:pt>
                <c:pt idx="25">
                  <c:v>26118576859188.5</c:v>
                </c:pt>
                <c:pt idx="26">
                  <c:v>25508635083856.4</c:v>
                </c:pt>
                <c:pt idx="27">
                  <c:v>24450534739151.1</c:v>
                </c:pt>
                <c:pt idx="28">
                  <c:v>23032770011680.9</c:v>
                </c:pt>
                <c:pt idx="29">
                  <c:v>21351211740582.1</c:v>
                </c:pt>
                <c:pt idx="30">
                  <c:v>19501016031007.3</c:v>
                </c:pt>
                <c:pt idx="31">
                  <c:v>17568533812077.9</c:v>
                </c:pt>
                <c:pt idx="32">
                  <c:v>15628981120970.3</c:v>
                </c:pt>
                <c:pt idx="33">
                  <c:v>13742367973583.9</c:v>
                </c:pt>
                <c:pt idx="34">
                  <c:v>11955065867452.2</c:v>
                </c:pt>
                <c:pt idx="35">
                  <c:v>10298041358375.8</c:v>
                </c:pt>
                <c:pt idx="36">
                  <c:v>8790684018303.82</c:v>
                </c:pt>
                <c:pt idx="37">
                  <c:v>7441875457520.55</c:v>
                </c:pt>
                <c:pt idx="38">
                  <c:v>6252103474476.47</c:v>
                </c:pt>
                <c:pt idx="39">
                  <c:v>5215741061181.37</c:v>
                </c:pt>
                <c:pt idx="40">
                  <c:v>4323201777756.76</c:v>
                </c:pt>
                <c:pt idx="41">
                  <c:v>3562311909621.39</c:v>
                </c:pt>
                <c:pt idx="42">
                  <c:v>2919347055982.14</c:v>
                </c:pt>
                <c:pt idx="43">
                  <c:v>2380571177054.06</c:v>
                </c:pt>
                <c:pt idx="44">
                  <c:v>1932307867894.56</c:v>
                </c:pt>
                <c:pt idx="45">
                  <c:v>1561856455569.02</c:v>
                </c:pt>
                <c:pt idx="46">
                  <c:v>1257536284468.72</c:v>
                </c:pt>
                <c:pt idx="47">
                  <c:v>1008895448645.1</c:v>
                </c:pt>
                <c:pt idx="48">
                  <c:v>806750519417.823</c:v>
                </c:pt>
                <c:pt idx="49">
                  <c:v>643168358646.74</c:v>
                </c:pt>
                <c:pt idx="50">
                  <c:v>511318364975.353</c:v>
                </c:pt>
                <c:pt idx="51">
                  <c:v>405450661054.979</c:v>
                </c:pt>
                <c:pt idx="52">
                  <c:v>320742095467.485</c:v>
                </c:pt>
                <c:pt idx="53">
                  <c:v>253173140768.025</c:v>
                </c:pt>
                <c:pt idx="54">
                  <c:v>199434066877.718</c:v>
                </c:pt>
                <c:pt idx="55">
                  <c:v>156806639523.361</c:v>
                </c:pt>
                <c:pt idx="56">
                  <c:v>123077615573.688</c:v>
                </c:pt>
                <c:pt idx="57">
                  <c:v>96448131167.9696</c:v>
                </c:pt>
                <c:pt idx="58">
                  <c:v>75468556457.111</c:v>
                </c:pt>
                <c:pt idx="59">
                  <c:v>58970693975.4761</c:v>
                </c:pt>
              </c:numCache>
            </c:numRef>
          </c:yVal>
          <c:smooth val="0"/>
        </c:ser>
        <c:axId val="8374578"/>
        <c:axId val="44542293"/>
      </c:scatterChart>
      <c:valAx>
        <c:axId val="8374578"/>
        <c:scaling>
          <c:orientation val="minMax"/>
          <c:max val="3000"/>
          <c:min val="10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wavelength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42293"/>
        <c:crosses val="autoZero"/>
        <c:crossBetween val="midCat"/>
      </c:valAx>
      <c:valAx>
        <c:axId val="44542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B_lambda [W m^-3 sr^-1]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E+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45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Planck vs Rayleigh-Jeans and Wien limits (log-log)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"Planck"</c:f>
              <c:strCache>
                <c:ptCount val="1"/>
                <c:pt idx="0">
                  <c:v>Planck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Planck'!$E$18:$E$77</c:f>
              <c:numCache>
                <c:formatCode>0.0</c:formatCode>
                <c:ptCount val="60"/>
                <c:pt idx="0">
                  <c:v>100</c:v>
                </c:pt>
                <c:pt idx="1">
                  <c:v>106.86</c:v>
                </c:pt>
                <c:pt idx="2">
                  <c:v>114.18</c:v>
                </c:pt>
                <c:pt idx="3">
                  <c:v>122.01</c:v>
                </c:pt>
                <c:pt idx="4">
                  <c:v>130.37</c:v>
                </c:pt>
                <c:pt idx="5">
                  <c:v>139.31</c:v>
                </c:pt>
                <c:pt idx="6">
                  <c:v>148.86</c:v>
                </c:pt>
                <c:pt idx="7">
                  <c:v>159.06</c:v>
                </c:pt>
                <c:pt idx="8">
                  <c:v>169.97</c:v>
                </c:pt>
                <c:pt idx="9">
                  <c:v>181.62</c:v>
                </c:pt>
                <c:pt idx="10">
                  <c:v>194.07</c:v>
                </c:pt>
                <c:pt idx="11">
                  <c:v>207.38</c:v>
                </c:pt>
                <c:pt idx="12">
                  <c:v>221.59</c:v>
                </c:pt>
                <c:pt idx="13">
                  <c:v>236.78</c:v>
                </c:pt>
                <c:pt idx="14">
                  <c:v>253.01</c:v>
                </c:pt>
                <c:pt idx="15">
                  <c:v>270.36</c:v>
                </c:pt>
                <c:pt idx="16">
                  <c:v>288.89</c:v>
                </c:pt>
                <c:pt idx="17">
                  <c:v>308.7</c:v>
                </c:pt>
                <c:pt idx="18">
                  <c:v>329.86</c:v>
                </c:pt>
                <c:pt idx="19">
                  <c:v>352.47</c:v>
                </c:pt>
                <c:pt idx="20">
                  <c:v>376.64</c:v>
                </c:pt>
                <c:pt idx="21">
                  <c:v>402.46</c:v>
                </c:pt>
                <c:pt idx="22">
                  <c:v>430.05</c:v>
                </c:pt>
                <c:pt idx="23">
                  <c:v>459.53</c:v>
                </c:pt>
                <c:pt idx="24">
                  <c:v>491.03</c:v>
                </c:pt>
                <c:pt idx="25">
                  <c:v>524.69</c:v>
                </c:pt>
                <c:pt idx="26">
                  <c:v>560.66</c:v>
                </c:pt>
                <c:pt idx="27">
                  <c:v>599.09</c:v>
                </c:pt>
                <c:pt idx="28">
                  <c:v>640.16</c:v>
                </c:pt>
                <c:pt idx="29">
                  <c:v>684.05</c:v>
                </c:pt>
                <c:pt idx="30">
                  <c:v>730.94</c:v>
                </c:pt>
                <c:pt idx="31">
                  <c:v>781.05</c:v>
                </c:pt>
                <c:pt idx="32">
                  <c:v>834.59</c:v>
                </c:pt>
                <c:pt idx="33">
                  <c:v>891.81</c:v>
                </c:pt>
                <c:pt idx="34">
                  <c:v>952.94</c:v>
                </c:pt>
                <c:pt idx="35">
                  <c:v>1018.27</c:v>
                </c:pt>
                <c:pt idx="36">
                  <c:v>1088.08</c:v>
                </c:pt>
                <c:pt idx="37">
                  <c:v>1162.67</c:v>
                </c:pt>
                <c:pt idx="38">
                  <c:v>1242.37</c:v>
                </c:pt>
                <c:pt idx="39">
                  <c:v>1327.54</c:v>
                </c:pt>
                <c:pt idx="40">
                  <c:v>1418.55</c:v>
                </c:pt>
                <c:pt idx="41">
                  <c:v>1515.79</c:v>
                </c:pt>
                <c:pt idx="42">
                  <c:v>1619.71</c:v>
                </c:pt>
                <c:pt idx="43">
                  <c:v>1730.74</c:v>
                </c:pt>
                <c:pt idx="44">
                  <c:v>1849.39</c:v>
                </c:pt>
                <c:pt idx="45">
                  <c:v>1976.17</c:v>
                </c:pt>
                <c:pt idx="46">
                  <c:v>2111.64</c:v>
                </c:pt>
                <c:pt idx="47">
                  <c:v>2256.4</c:v>
                </c:pt>
                <c:pt idx="48">
                  <c:v>2411.09</c:v>
                </c:pt>
                <c:pt idx="49">
                  <c:v>2576.37</c:v>
                </c:pt>
                <c:pt idx="50">
                  <c:v>2752.99</c:v>
                </c:pt>
                <c:pt idx="51">
                  <c:v>2941.72</c:v>
                </c:pt>
                <c:pt idx="52">
                  <c:v>3143.38</c:v>
                </c:pt>
                <c:pt idx="53">
                  <c:v>3358.87</c:v>
                </c:pt>
                <c:pt idx="54">
                  <c:v>3589.13</c:v>
                </c:pt>
                <c:pt idx="55">
                  <c:v>3835.18</c:v>
                </c:pt>
                <c:pt idx="56">
                  <c:v>4098.09</c:v>
                </c:pt>
                <c:pt idx="57">
                  <c:v>4379.03</c:v>
                </c:pt>
                <c:pt idx="58">
                  <c:v>4679.22</c:v>
                </c:pt>
                <c:pt idx="59">
                  <c:v>5000</c:v>
                </c:pt>
              </c:numCache>
            </c:numRef>
          </c:xVal>
          <c:yVal>
            <c:numRef>
              <c:f>'RT2 Planck'!$F$18:$F$77</c:f>
              <c:numCache>
                <c:formatCode>0.000E+00</c:formatCode>
                <c:ptCount val="60"/>
                <c:pt idx="0">
                  <c:v>177967553.506997</c:v>
                </c:pt>
                <c:pt idx="1">
                  <c:v>632740892.380811</c:v>
                </c:pt>
                <c:pt idx="2">
                  <c:v>2026837312.40669</c:v>
                </c:pt>
                <c:pt idx="3">
                  <c:v>5905353865.46676</c:v>
                </c:pt>
                <c:pt idx="4">
                  <c:v>15714425938.2177</c:v>
                </c:pt>
                <c:pt idx="5">
                  <c:v>38472895739.4583</c:v>
                </c:pt>
                <c:pt idx="6">
                  <c:v>87038211564.5757</c:v>
                </c:pt>
                <c:pt idx="7">
                  <c:v>182871433600.426</c:v>
                </c:pt>
                <c:pt idx="8">
                  <c:v>358880750819.911</c:v>
                </c:pt>
                <c:pt idx="9">
                  <c:v>659993864972.329</c:v>
                </c:pt>
                <c:pt idx="10">
                  <c:v>1142746810395.47</c:v>
                </c:pt>
                <c:pt idx="11">
                  <c:v>1870366150747.54</c:v>
                </c:pt>
                <c:pt idx="12">
                  <c:v>2902480612923.33</c:v>
                </c:pt>
                <c:pt idx="13">
                  <c:v>4287576416644.72</c:v>
                </c:pt>
                <c:pt idx="14">
                  <c:v>6047042107209.56</c:v>
                </c:pt>
                <c:pt idx="15">
                  <c:v>8168091485074.7</c:v>
                </c:pt>
                <c:pt idx="16">
                  <c:v>10593478221122.8</c:v>
                </c:pt>
                <c:pt idx="17">
                  <c:v>13229661215939</c:v>
                </c:pt>
                <c:pt idx="18">
                  <c:v>15945313388664.1</c:v>
                </c:pt>
                <c:pt idx="19">
                  <c:v>18592402103270.3</c:v>
                </c:pt>
                <c:pt idx="20">
                  <c:v>21019516597091.2</c:v>
                </c:pt>
                <c:pt idx="21">
                  <c:v>23085946746738</c:v>
                </c:pt>
                <c:pt idx="22">
                  <c:v>24681348268065.5</c:v>
                </c:pt>
                <c:pt idx="23">
                  <c:v>25732449156889.8</c:v>
                </c:pt>
                <c:pt idx="24">
                  <c:v>26208225778015.7</c:v>
                </c:pt>
                <c:pt idx="25">
                  <c:v>26118576859188.5</c:v>
                </c:pt>
                <c:pt idx="26">
                  <c:v>25508635083856.4</c:v>
                </c:pt>
                <c:pt idx="27">
                  <c:v>24450534739151.1</c:v>
                </c:pt>
                <c:pt idx="28">
                  <c:v>23032770011680.9</c:v>
                </c:pt>
                <c:pt idx="29">
                  <c:v>21351211740582.1</c:v>
                </c:pt>
                <c:pt idx="30">
                  <c:v>19501016031007.3</c:v>
                </c:pt>
                <c:pt idx="31">
                  <c:v>17568533812077.9</c:v>
                </c:pt>
                <c:pt idx="32">
                  <c:v>15628981120970.3</c:v>
                </c:pt>
                <c:pt idx="33">
                  <c:v>13742367973583.9</c:v>
                </c:pt>
                <c:pt idx="34">
                  <c:v>11955065867452.2</c:v>
                </c:pt>
                <c:pt idx="35">
                  <c:v>10298041358375.8</c:v>
                </c:pt>
                <c:pt idx="36">
                  <c:v>8790684018303.82</c:v>
                </c:pt>
                <c:pt idx="37">
                  <c:v>7441875457520.55</c:v>
                </c:pt>
                <c:pt idx="38">
                  <c:v>6252103474476.47</c:v>
                </c:pt>
                <c:pt idx="39">
                  <c:v>5215741061181.37</c:v>
                </c:pt>
                <c:pt idx="40">
                  <c:v>4323201777756.76</c:v>
                </c:pt>
                <c:pt idx="41">
                  <c:v>3562311909621.39</c:v>
                </c:pt>
                <c:pt idx="42">
                  <c:v>2919347055982.14</c:v>
                </c:pt>
                <c:pt idx="43">
                  <c:v>2380571177054.06</c:v>
                </c:pt>
                <c:pt idx="44">
                  <c:v>1932307867894.56</c:v>
                </c:pt>
                <c:pt idx="45">
                  <c:v>1561856455569.02</c:v>
                </c:pt>
                <c:pt idx="46">
                  <c:v>1257536284468.72</c:v>
                </c:pt>
                <c:pt idx="47">
                  <c:v>1008895448645.1</c:v>
                </c:pt>
                <c:pt idx="48">
                  <c:v>806750519417.823</c:v>
                </c:pt>
                <c:pt idx="49">
                  <c:v>643168358646.74</c:v>
                </c:pt>
                <c:pt idx="50">
                  <c:v>511318364975.353</c:v>
                </c:pt>
                <c:pt idx="51">
                  <c:v>405450661054.979</c:v>
                </c:pt>
                <c:pt idx="52">
                  <c:v>320742095467.485</c:v>
                </c:pt>
                <c:pt idx="53">
                  <c:v>253173140768.025</c:v>
                </c:pt>
                <c:pt idx="54">
                  <c:v>199434066877.718</c:v>
                </c:pt>
                <c:pt idx="55">
                  <c:v>156806639523.361</c:v>
                </c:pt>
                <c:pt idx="56">
                  <c:v>123077615573.688</c:v>
                </c:pt>
                <c:pt idx="57">
                  <c:v>96448131167.9696</c:v>
                </c:pt>
                <c:pt idx="58">
                  <c:v>75468556457.111</c:v>
                </c:pt>
                <c:pt idx="59">
                  <c:v>58970693975.4761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"Rayleigh-Jeans"</c:f>
              <c:strCache>
                <c:ptCount val="1"/>
                <c:pt idx="0">
                  <c:v>Rayleigh-Jeans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Planck'!$E$18:$E$77</c:f>
              <c:numCache>
                <c:formatCode>0.0</c:formatCode>
                <c:ptCount val="60"/>
                <c:pt idx="0">
                  <c:v>100</c:v>
                </c:pt>
                <c:pt idx="1">
                  <c:v>106.86</c:v>
                </c:pt>
                <c:pt idx="2">
                  <c:v>114.18</c:v>
                </c:pt>
                <c:pt idx="3">
                  <c:v>122.01</c:v>
                </c:pt>
                <c:pt idx="4">
                  <c:v>130.37</c:v>
                </c:pt>
                <c:pt idx="5">
                  <c:v>139.31</c:v>
                </c:pt>
                <c:pt idx="6">
                  <c:v>148.86</c:v>
                </c:pt>
                <c:pt idx="7">
                  <c:v>159.06</c:v>
                </c:pt>
                <c:pt idx="8">
                  <c:v>169.97</c:v>
                </c:pt>
                <c:pt idx="9">
                  <c:v>181.62</c:v>
                </c:pt>
                <c:pt idx="10">
                  <c:v>194.07</c:v>
                </c:pt>
                <c:pt idx="11">
                  <c:v>207.38</c:v>
                </c:pt>
                <c:pt idx="12">
                  <c:v>221.59</c:v>
                </c:pt>
                <c:pt idx="13">
                  <c:v>236.78</c:v>
                </c:pt>
                <c:pt idx="14">
                  <c:v>253.01</c:v>
                </c:pt>
                <c:pt idx="15">
                  <c:v>270.36</c:v>
                </c:pt>
                <c:pt idx="16">
                  <c:v>288.89</c:v>
                </c:pt>
                <c:pt idx="17">
                  <c:v>308.7</c:v>
                </c:pt>
                <c:pt idx="18">
                  <c:v>329.86</c:v>
                </c:pt>
                <c:pt idx="19">
                  <c:v>352.47</c:v>
                </c:pt>
                <c:pt idx="20">
                  <c:v>376.64</c:v>
                </c:pt>
                <c:pt idx="21">
                  <c:v>402.46</c:v>
                </c:pt>
                <c:pt idx="22">
                  <c:v>430.05</c:v>
                </c:pt>
                <c:pt idx="23">
                  <c:v>459.53</c:v>
                </c:pt>
                <c:pt idx="24">
                  <c:v>491.03</c:v>
                </c:pt>
                <c:pt idx="25">
                  <c:v>524.69</c:v>
                </c:pt>
                <c:pt idx="26">
                  <c:v>560.66</c:v>
                </c:pt>
                <c:pt idx="27">
                  <c:v>599.09</c:v>
                </c:pt>
                <c:pt idx="28">
                  <c:v>640.16</c:v>
                </c:pt>
                <c:pt idx="29">
                  <c:v>684.05</c:v>
                </c:pt>
                <c:pt idx="30">
                  <c:v>730.94</c:v>
                </c:pt>
                <c:pt idx="31">
                  <c:v>781.05</c:v>
                </c:pt>
                <c:pt idx="32">
                  <c:v>834.59</c:v>
                </c:pt>
                <c:pt idx="33">
                  <c:v>891.81</c:v>
                </c:pt>
                <c:pt idx="34">
                  <c:v>952.94</c:v>
                </c:pt>
                <c:pt idx="35">
                  <c:v>1018.27</c:v>
                </c:pt>
                <c:pt idx="36">
                  <c:v>1088.08</c:v>
                </c:pt>
                <c:pt idx="37">
                  <c:v>1162.67</c:v>
                </c:pt>
                <c:pt idx="38">
                  <c:v>1242.37</c:v>
                </c:pt>
                <c:pt idx="39">
                  <c:v>1327.54</c:v>
                </c:pt>
                <c:pt idx="40">
                  <c:v>1418.55</c:v>
                </c:pt>
                <c:pt idx="41">
                  <c:v>1515.79</c:v>
                </c:pt>
                <c:pt idx="42">
                  <c:v>1619.71</c:v>
                </c:pt>
                <c:pt idx="43">
                  <c:v>1730.74</c:v>
                </c:pt>
                <c:pt idx="44">
                  <c:v>1849.39</c:v>
                </c:pt>
                <c:pt idx="45">
                  <c:v>1976.17</c:v>
                </c:pt>
                <c:pt idx="46">
                  <c:v>2111.64</c:v>
                </c:pt>
                <c:pt idx="47">
                  <c:v>2256.4</c:v>
                </c:pt>
                <c:pt idx="48">
                  <c:v>2411.09</c:v>
                </c:pt>
                <c:pt idx="49">
                  <c:v>2576.37</c:v>
                </c:pt>
                <c:pt idx="50">
                  <c:v>2752.99</c:v>
                </c:pt>
                <c:pt idx="51">
                  <c:v>2941.72</c:v>
                </c:pt>
                <c:pt idx="52">
                  <c:v>3143.38</c:v>
                </c:pt>
                <c:pt idx="53">
                  <c:v>3358.87</c:v>
                </c:pt>
                <c:pt idx="54">
                  <c:v>3589.13</c:v>
                </c:pt>
                <c:pt idx="55">
                  <c:v>3835.18</c:v>
                </c:pt>
                <c:pt idx="56">
                  <c:v>4098.09</c:v>
                </c:pt>
                <c:pt idx="57">
                  <c:v>4379.03</c:v>
                </c:pt>
                <c:pt idx="58">
                  <c:v>4679.22</c:v>
                </c:pt>
                <c:pt idx="59">
                  <c:v>5000</c:v>
                </c:pt>
              </c:numCache>
            </c:numRef>
          </c:xVal>
          <c:yVal>
            <c:numRef>
              <c:f>'RT2 Planck'!$H$18:$H$77</c:f>
              <c:numCache>
                <c:formatCode>0.000E+00</c:formatCode>
                <c:ptCount val="60"/>
                <c:pt idx="0">
                  <c:v>4.77815576839347E+017</c:v>
                </c:pt>
                <c:pt idx="1">
                  <c:v>3.66437257653124E+017</c:v>
                </c:pt>
                <c:pt idx="2">
                  <c:v>2.81125440539921E+017</c:v>
                </c:pt>
                <c:pt idx="3">
                  <c:v>2.15614813543943E+017</c:v>
                </c:pt>
                <c:pt idx="4">
                  <c:v>1.65405383889876E+017</c:v>
                </c:pt>
                <c:pt idx="5">
                  <c:v>1.2686187759328E+017</c:v>
                </c:pt>
                <c:pt idx="6">
                  <c:v>97307932468841800</c:v>
                </c:pt>
                <c:pt idx="7">
                  <c:v>74647693155224000</c:v>
                </c:pt>
                <c:pt idx="8">
                  <c:v>57249435145200800</c:v>
                </c:pt>
                <c:pt idx="9">
                  <c:v>43914265003761400</c:v>
                </c:pt>
                <c:pt idx="10">
                  <c:v>33684234354536400</c:v>
                </c:pt>
                <c:pt idx="11">
                  <c:v>25834069471671700</c:v>
                </c:pt>
                <c:pt idx="12">
                  <c:v>19817993139845500</c:v>
                </c:pt>
                <c:pt idx="13">
                  <c:v>15201282807925100</c:v>
                </c:pt>
                <c:pt idx="14">
                  <c:v>11660295514884900</c:v>
                </c:pt>
                <c:pt idx="15">
                  <c:v>8943150773013225</c:v>
                </c:pt>
                <c:pt idx="16">
                  <c:v>6860097182647404</c:v>
                </c:pt>
                <c:pt idx="17">
                  <c:v>5261551017078057</c:v>
                </c:pt>
                <c:pt idx="18">
                  <c:v>4035911971408650</c:v>
                </c:pt>
                <c:pt idx="19">
                  <c:v>3095791258511280</c:v>
                </c:pt>
                <c:pt idx="20">
                  <c:v>2374403583458507</c:v>
                </c:pt>
                <c:pt idx="21">
                  <c:v>1821249360382890</c:v>
                </c:pt>
                <c:pt idx="22">
                  <c:v>1396961688105680</c:v>
                </c:pt>
                <c:pt idx="23">
                  <c:v>1071531214820490</c:v>
                </c:pt>
                <c:pt idx="24">
                  <c:v>821917442886886</c:v>
                </c:pt>
                <c:pt idx="25">
                  <c:v>630447831470422</c:v>
                </c:pt>
                <c:pt idx="26">
                  <c:v>483572965085207</c:v>
                </c:pt>
                <c:pt idx="27">
                  <c:v>370930053384287</c:v>
                </c:pt>
                <c:pt idx="28">
                  <c:v>284515654890532</c:v>
                </c:pt>
                <c:pt idx="29">
                  <c:v>218227217260096</c:v>
                </c:pt>
                <c:pt idx="30">
                  <c:v>167391495000256</c:v>
                </c:pt>
                <c:pt idx="31">
                  <c:v>128394067299702</c:v>
                </c:pt>
                <c:pt idx="32">
                  <c:v>98484434791860.8</c:v>
                </c:pt>
                <c:pt idx="33">
                  <c:v>75538951478315</c:v>
                </c:pt>
                <c:pt idx="34">
                  <c:v>57942612906200.1</c:v>
                </c:pt>
                <c:pt idx="35">
                  <c:v>44443526106543.4</c:v>
                </c:pt>
                <c:pt idx="36">
                  <c:v>34089214432875.9</c:v>
                </c:pt>
                <c:pt idx="37">
                  <c:v>26147756809002.4</c:v>
                </c:pt>
                <c:pt idx="38">
                  <c:v>20056561549552.1</c:v>
                </c:pt>
                <c:pt idx="39">
                  <c:v>15384020187259.2</c:v>
                </c:pt>
                <c:pt idx="40">
                  <c:v>11799991958011.7</c:v>
                </c:pt>
                <c:pt idx="41">
                  <c:v>9051158148612.3</c:v>
                </c:pt>
                <c:pt idx="42">
                  <c:v>6942425846457.63</c:v>
                </c:pt>
                <c:pt idx="43">
                  <c:v>5325163906406.56</c:v>
                </c:pt>
                <c:pt idx="44">
                  <c:v>4084569440302.02</c:v>
                </c:pt>
                <c:pt idx="45">
                  <c:v>3133019482658.07</c:v>
                </c:pt>
                <c:pt idx="46">
                  <c:v>2403149468135.14</c:v>
                </c:pt>
                <c:pt idx="47">
                  <c:v>1843299645131.98</c:v>
                </c:pt>
                <c:pt idx="48">
                  <c:v>1413860678963.12</c:v>
                </c:pt>
                <c:pt idx="49">
                  <c:v>1084494539967.76</c:v>
                </c:pt>
                <c:pt idx="50">
                  <c:v>831843769801.144</c:v>
                </c:pt>
                <c:pt idx="51">
                  <c:v>638050379094.348</c:v>
                </c:pt>
                <c:pt idx="52">
                  <c:v>489409912457.223</c:v>
                </c:pt>
                <c:pt idx="53">
                  <c:v>375394168514.259</c:v>
                </c:pt>
                <c:pt idx="54">
                  <c:v>287941025997.627</c:v>
                </c:pt>
                <c:pt idx="55">
                  <c:v>220860116077.45</c:v>
                </c:pt>
                <c:pt idx="56">
                  <c:v>169408164136.38</c:v>
                </c:pt>
                <c:pt idx="57">
                  <c:v>129941723193.418</c:v>
                </c:pt>
                <c:pt idx="58">
                  <c:v>99670455996.2642</c:v>
                </c:pt>
                <c:pt idx="59">
                  <c:v>76450492294.2956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"Wien"</c:f>
              <c:strCache>
                <c:ptCount val="1"/>
                <c:pt idx="0">
                  <c:v>Wien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Planck'!$E$18:$E$77</c:f>
              <c:numCache>
                <c:formatCode>0.0</c:formatCode>
                <c:ptCount val="60"/>
                <c:pt idx="0">
                  <c:v>100</c:v>
                </c:pt>
                <c:pt idx="1">
                  <c:v>106.86</c:v>
                </c:pt>
                <c:pt idx="2">
                  <c:v>114.18</c:v>
                </c:pt>
                <c:pt idx="3">
                  <c:v>122.01</c:v>
                </c:pt>
                <c:pt idx="4">
                  <c:v>130.37</c:v>
                </c:pt>
                <c:pt idx="5">
                  <c:v>139.31</c:v>
                </c:pt>
                <c:pt idx="6">
                  <c:v>148.86</c:v>
                </c:pt>
                <c:pt idx="7">
                  <c:v>159.06</c:v>
                </c:pt>
                <c:pt idx="8">
                  <c:v>169.97</c:v>
                </c:pt>
                <c:pt idx="9">
                  <c:v>181.62</c:v>
                </c:pt>
                <c:pt idx="10">
                  <c:v>194.07</c:v>
                </c:pt>
                <c:pt idx="11">
                  <c:v>207.38</c:v>
                </c:pt>
                <c:pt idx="12">
                  <c:v>221.59</c:v>
                </c:pt>
                <c:pt idx="13">
                  <c:v>236.78</c:v>
                </c:pt>
                <c:pt idx="14">
                  <c:v>253.01</c:v>
                </c:pt>
                <c:pt idx="15">
                  <c:v>270.36</c:v>
                </c:pt>
                <c:pt idx="16">
                  <c:v>288.89</c:v>
                </c:pt>
                <c:pt idx="17">
                  <c:v>308.7</c:v>
                </c:pt>
                <c:pt idx="18">
                  <c:v>329.86</c:v>
                </c:pt>
                <c:pt idx="19">
                  <c:v>352.47</c:v>
                </c:pt>
                <c:pt idx="20">
                  <c:v>376.64</c:v>
                </c:pt>
                <c:pt idx="21">
                  <c:v>402.46</c:v>
                </c:pt>
                <c:pt idx="22">
                  <c:v>430.05</c:v>
                </c:pt>
                <c:pt idx="23">
                  <c:v>459.53</c:v>
                </c:pt>
                <c:pt idx="24">
                  <c:v>491.03</c:v>
                </c:pt>
                <c:pt idx="25">
                  <c:v>524.69</c:v>
                </c:pt>
                <c:pt idx="26">
                  <c:v>560.66</c:v>
                </c:pt>
                <c:pt idx="27">
                  <c:v>599.09</c:v>
                </c:pt>
                <c:pt idx="28">
                  <c:v>640.16</c:v>
                </c:pt>
                <c:pt idx="29">
                  <c:v>684.05</c:v>
                </c:pt>
                <c:pt idx="30">
                  <c:v>730.94</c:v>
                </c:pt>
                <c:pt idx="31">
                  <c:v>781.05</c:v>
                </c:pt>
                <c:pt idx="32">
                  <c:v>834.59</c:v>
                </c:pt>
                <c:pt idx="33">
                  <c:v>891.81</c:v>
                </c:pt>
                <c:pt idx="34">
                  <c:v>952.94</c:v>
                </c:pt>
                <c:pt idx="35">
                  <c:v>1018.27</c:v>
                </c:pt>
                <c:pt idx="36">
                  <c:v>1088.08</c:v>
                </c:pt>
                <c:pt idx="37">
                  <c:v>1162.67</c:v>
                </c:pt>
                <c:pt idx="38">
                  <c:v>1242.37</c:v>
                </c:pt>
                <c:pt idx="39">
                  <c:v>1327.54</c:v>
                </c:pt>
                <c:pt idx="40">
                  <c:v>1418.55</c:v>
                </c:pt>
                <c:pt idx="41">
                  <c:v>1515.79</c:v>
                </c:pt>
                <c:pt idx="42">
                  <c:v>1619.71</c:v>
                </c:pt>
                <c:pt idx="43">
                  <c:v>1730.74</c:v>
                </c:pt>
                <c:pt idx="44">
                  <c:v>1849.39</c:v>
                </c:pt>
                <c:pt idx="45">
                  <c:v>1976.17</c:v>
                </c:pt>
                <c:pt idx="46">
                  <c:v>2111.64</c:v>
                </c:pt>
                <c:pt idx="47">
                  <c:v>2256.4</c:v>
                </c:pt>
                <c:pt idx="48">
                  <c:v>2411.09</c:v>
                </c:pt>
                <c:pt idx="49">
                  <c:v>2576.37</c:v>
                </c:pt>
                <c:pt idx="50">
                  <c:v>2752.99</c:v>
                </c:pt>
                <c:pt idx="51">
                  <c:v>2941.72</c:v>
                </c:pt>
                <c:pt idx="52">
                  <c:v>3143.38</c:v>
                </c:pt>
                <c:pt idx="53">
                  <c:v>3358.87</c:v>
                </c:pt>
                <c:pt idx="54">
                  <c:v>3589.13</c:v>
                </c:pt>
                <c:pt idx="55">
                  <c:v>3835.18</c:v>
                </c:pt>
                <c:pt idx="56">
                  <c:v>4098.09</c:v>
                </c:pt>
                <c:pt idx="57">
                  <c:v>4379.03</c:v>
                </c:pt>
                <c:pt idx="58">
                  <c:v>4679.22</c:v>
                </c:pt>
                <c:pt idx="59">
                  <c:v>5000</c:v>
                </c:pt>
              </c:numCache>
            </c:numRef>
          </c:xVal>
          <c:yVal>
            <c:numRef>
              <c:f>'RT2 Planck'!$I$18:$I$77</c:f>
              <c:numCache>
                <c:formatCode>0.000E+00</c:formatCode>
                <c:ptCount val="60"/>
                <c:pt idx="0">
                  <c:v>177967553.504338</c:v>
                </c:pt>
                <c:pt idx="1">
                  <c:v>632740892.333973</c:v>
                </c:pt>
                <c:pt idx="2">
                  <c:v>2026837311.73733</c:v>
                </c:pt>
                <c:pt idx="3">
                  <c:v>5905353857.55011</c:v>
                </c:pt>
                <c:pt idx="4">
                  <c:v>15714425860.1344</c:v>
                </c:pt>
                <c:pt idx="5">
                  <c:v>38472895087.3889</c:v>
                </c:pt>
                <c:pt idx="6">
                  <c:v>87038206915.3296</c:v>
                </c:pt>
                <c:pt idx="7">
                  <c:v>182871405013.39</c:v>
                </c:pt>
                <c:pt idx="8">
                  <c:v>358880597416.829</c:v>
                </c:pt>
                <c:pt idx="9">
                  <c:v>659993142252.039</c:v>
                </c:pt>
                <c:pt idx="10">
                  <c:v>1142743792087.94</c:v>
                </c:pt>
                <c:pt idx="11">
                  <c:v>1870354885063.36</c:v>
                </c:pt>
                <c:pt idx="12">
                  <c:v>2902442824710.09</c:v>
                </c:pt>
                <c:pt idx="13">
                  <c:v>4287461545814.07</c:v>
                </c:pt>
                <c:pt idx="14">
                  <c:v>6046723816378.92</c:v>
                </c:pt>
                <c:pt idx="15">
                  <c:v>8167282420986.2</c:v>
                </c:pt>
                <c:pt idx="16">
                  <c:v>10591582674145.1</c:v>
                </c:pt>
                <c:pt idx="17">
                  <c:v>13225542916236.3</c:v>
                </c:pt>
                <c:pt idx="18">
                  <c:v>15936981183378.3</c:v>
                </c:pt>
                <c:pt idx="19">
                  <c:v>18576626509493.9</c:v>
                </c:pt>
                <c:pt idx="20">
                  <c:v>20991438369040.4</c:v>
                </c:pt>
                <c:pt idx="21">
                  <c:v>23038795449923.9</c:v>
                </c:pt>
                <c:pt idx="22">
                  <c:v>24606344460893.3</c:v>
                </c:pt>
                <c:pt idx="23">
                  <c:v>25619030180469.1</c:v>
                </c:pt>
                <c:pt idx="24">
                  <c:v>26044631338575.4</c:v>
                </c:pt>
                <c:pt idx="25">
                  <c:v>25892781649934.5</c:v>
                </c:pt>
                <c:pt idx="26">
                  <c:v>25209530947714.1</c:v>
                </c:pt>
                <c:pt idx="27">
                  <c:v>24069220253475.1</c:v>
                </c:pt>
                <c:pt idx="28">
                  <c:v>22563663962243.1</c:v>
                </c:pt>
                <c:pt idx="29">
                  <c:v>20792934255940.9</c:v>
                </c:pt>
                <c:pt idx="30">
                  <c:v>18856835972991.7</c:v>
                </c:pt>
                <c:pt idx="31">
                  <c:v>16846253777315.9</c:v>
                </c:pt>
                <c:pt idx="32">
                  <c:v>14840454567079.6</c:v>
                </c:pt>
                <c:pt idx="33">
                  <c:v>12902575023329.2</c:v>
                </c:pt>
                <c:pt idx="34">
                  <c:v>11081024025145.7</c:v>
                </c:pt>
                <c:pt idx="35">
                  <c:v>9407571032921.93</c:v>
                </c:pt>
                <c:pt idx="36">
                  <c:v>7901284156883.4</c:v>
                </c:pt>
                <c:pt idx="37">
                  <c:v>6569737271661.69</c:v>
                </c:pt>
                <c:pt idx="38">
                  <c:v>5411365986895.19</c:v>
                </c:pt>
                <c:pt idx="39">
                  <c:v>4418014882771.7</c:v>
                </c:pt>
                <c:pt idx="40">
                  <c:v>3577335477886.84</c:v>
                </c:pt>
                <c:pt idx="41">
                  <c:v>2874382009629.94</c:v>
                </c:pt>
                <c:pt idx="42">
                  <c:v>2292848613850.26</c:v>
                </c:pt>
                <c:pt idx="43">
                  <c:v>1816683933036.98</c:v>
                </c:pt>
                <c:pt idx="44">
                  <c:v>1430293128535.08</c:v>
                </c:pt>
                <c:pt idx="45">
                  <c:v>1119436535281.71</c:v>
                </c:pt>
                <c:pt idx="46">
                  <c:v>871295601744.457</c:v>
                </c:pt>
                <c:pt idx="47">
                  <c:v>674643716287.847</c:v>
                </c:pt>
                <c:pt idx="48">
                  <c:v>519839083021.105</c:v>
                </c:pt>
                <c:pt idx="49">
                  <c:v>398748157779.93</c:v>
                </c:pt>
                <c:pt idx="50">
                  <c:v>304560877785.073</c:v>
                </c:pt>
                <c:pt idx="51">
                  <c:v>231696155396.942</c:v>
                </c:pt>
                <c:pt idx="52">
                  <c:v>175610231199.258</c:v>
                </c:pt>
                <c:pt idx="53">
                  <c:v>132636478928.409</c:v>
                </c:pt>
                <c:pt idx="54">
                  <c:v>99852747204.2423</c:v>
                </c:pt>
                <c:pt idx="55">
                  <c:v>74942477339.9271</c:v>
                </c:pt>
                <c:pt idx="56">
                  <c:v>56086483703.1502</c:v>
                </c:pt>
                <c:pt idx="57">
                  <c:v>41862346564.0882</c:v>
                </c:pt>
                <c:pt idx="58">
                  <c:v>31167760336.7923</c:v>
                </c:pt>
                <c:pt idx="59">
                  <c:v>23150782629.9066</c:v>
                </c:pt>
              </c:numCache>
            </c:numRef>
          </c:yVal>
          <c:smooth val="0"/>
        </c:ser>
        <c:axId val="87443349"/>
        <c:axId val="36178552"/>
      </c:scatterChart>
      <c:valAx>
        <c:axId val="87443349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wavelength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78552"/>
        <c:crosses val="autoZero"/>
        <c:crossBetween val="midCat"/>
      </c:valAx>
      <c:valAx>
        <c:axId val="361785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B_lambda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E+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433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Scatterings needed to escape: N = tau^2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 = tau^2"</c:f>
              <c:strCache>
                <c:ptCount val="1"/>
                <c:pt idx="0">
                  <c:v>N = tau^2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Random walk'!$E$23:$E$52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'RT2 Random walk'!$F$23:$F$52</c:f>
              <c:numCache>
                <c:formatCode>#,##0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</c:numCache>
            </c:numRef>
          </c:yVal>
          <c:smooth val="0"/>
        </c:ser>
        <c:axId val="97346656"/>
        <c:axId val="38452845"/>
      </c:scatterChart>
      <c:valAx>
        <c:axId val="97346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optical radius tau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2845"/>
        <c:crosses val="autoZero"/>
        <c:crossBetween val="midCat"/>
      </c:valAx>
      <c:valAx>
        <c:axId val="38452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466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Rough escape probability with absorption (diffusion estimate)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"exp(-tau sqrt(3 eps))"</c:f>
              <c:strCache>
                <c:ptCount val="1"/>
                <c:pt idx="0">
                  <c:v>exp(-tau sqrt(3 eps))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'RT2 Random walk'!$E$23:$E$52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'RT2 Random walk'!$G$23:$G$52</c:f>
              <c:numCache>
                <c:formatCode>0.0000</c:formatCode>
                <c:ptCount val="30"/>
                <c:pt idx="0">
                  <c:v>0.946700729050898</c:v>
                </c:pt>
                <c:pt idx="1">
                  <c:v>0.896242270385501</c:v>
                </c:pt>
                <c:pt idx="2">
                  <c:v>0.848473210780185</c:v>
                </c:pt>
                <c:pt idx="3">
                  <c:v>0.803250207225757</c:v>
                </c:pt>
                <c:pt idx="4">
                  <c:v>0.760437556790909</c:v>
                </c:pt>
                <c:pt idx="5">
                  <c:v>0.719906789411637</c:v>
                </c:pt>
                <c:pt idx="6">
                  <c:v>0.681536282384687</c:v>
                </c:pt>
                <c:pt idx="7">
                  <c:v>0.645210895408222</c:v>
                </c:pt>
                <c:pt idx="8">
                  <c:v>0.610821625074546</c:v>
                </c:pt>
                <c:pt idx="9">
                  <c:v>0.578265277778127</c:v>
                </c:pt>
                <c:pt idx="10">
                  <c:v>0.547444160057372</c:v>
                </c:pt>
                <c:pt idx="11">
                  <c:v>0.518265785440971</c:v>
                </c:pt>
                <c:pt idx="12">
                  <c:v>0.490642596919103</c:v>
                </c:pt>
                <c:pt idx="13">
                  <c:v>0.46449170420674</c:v>
                </c:pt>
                <c:pt idx="14">
                  <c:v>0.439734635010615</c:v>
                </c:pt>
                <c:pt idx="15">
                  <c:v>0.41629709955348</c:v>
                </c:pt>
                <c:pt idx="16">
                  <c:v>0.394108767649053</c:v>
                </c:pt>
                <c:pt idx="17">
                  <c:v>0.373103057658709</c:v>
                </c:pt>
                <c:pt idx="18">
                  <c:v>0.353216936696619</c:v>
                </c:pt>
                <c:pt idx="19">
                  <c:v>0.334390731483814</c:v>
                </c:pt>
                <c:pt idx="20">
                  <c:v>0.31656794928359</c:v>
                </c:pt>
                <c:pt idx="21">
                  <c:v>0.299695108380922</c:v>
                </c:pt>
                <c:pt idx="22">
                  <c:v>0.283721577597207</c:v>
                </c:pt>
                <c:pt idx="23">
                  <c:v>0.268599424358746</c:v>
                </c:pt>
                <c:pt idx="24">
                  <c:v>0.254283270863077</c:v>
                </c:pt>
                <c:pt idx="25">
                  <c:v>0.240730157911521</c:v>
                </c:pt>
                <c:pt idx="26">
                  <c:v>0.227899415999375</c:v>
                </c:pt>
                <c:pt idx="27">
                  <c:v>0.215752543276882</c:v>
                </c:pt>
                <c:pt idx="28">
                  <c:v>0.20425309001481</c:v>
                </c:pt>
                <c:pt idx="29">
                  <c:v>0.193366549227919</c:v>
                </c:pt>
              </c:numCache>
            </c:numRef>
          </c:yVal>
          <c:smooth val="0"/>
        </c:ser>
        <c:axId val="32177355"/>
        <c:axId val="60273095"/>
      </c:scatterChart>
      <c:valAx>
        <c:axId val="321773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optical radius tau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73095"/>
        <c:crosses val="autoZero"/>
        <c:crossBetween val="midCat"/>
      </c:valAx>
      <c:valAx>
        <c:axId val="6027309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773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 A: intensity relaxes toward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"I/S"</c:f>
              <c:strCache>
                <c:ptCount val="1"/>
                <c:pt idx="0">
                  <c:v>I/S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'RT3 Slab &amp; MIT star'!$E$26:$E$56</c:f>
              <c:numCache>
                <c:formatCode>0.00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</c:numCache>
            </c:numRef>
          </c:xVal>
          <c:yVal>
            <c:numRef>
              <c:f>'RT3 Slab &amp; MIT star'!$F$26:$F$56</c:f>
              <c:numCache>
                <c:formatCode>0.0000</c:formatCode>
                <c:ptCount val="31"/>
                <c:pt idx="0">
                  <c:v>2.2</c:v>
                </c:pt>
                <c:pt idx="1">
                  <c:v>1.98247690369358</c:v>
                </c:pt>
                <c:pt idx="2">
                  <c:v>1.80438405524277</c:v>
                </c:pt>
                <c:pt idx="3">
                  <c:v>1.65857396331283</c:v>
                </c:pt>
                <c:pt idx="4">
                  <c:v>1.53919475694067</c:v>
                </c:pt>
                <c:pt idx="5">
                  <c:v>1.44145532940573</c:v>
                </c:pt>
                <c:pt idx="6">
                  <c:v>1.36143305429464</c:v>
                </c:pt>
                <c:pt idx="7">
                  <c:v>1.29591635672993</c:v>
                </c:pt>
                <c:pt idx="8">
                  <c:v>1.24227582159359</c:v>
                </c:pt>
                <c:pt idx="9">
                  <c:v>1.1983586658659</c:v>
                </c:pt>
                <c:pt idx="10">
                  <c:v>1.16240233988394</c:v>
                </c:pt>
                <c:pt idx="11">
                  <c:v>1.1329637900348</c:v>
                </c:pt>
                <c:pt idx="12">
                  <c:v>1.1088615439473</c:v>
                </c:pt>
                <c:pt idx="13">
                  <c:v>1.0891282938572</c:v>
                </c:pt>
                <c:pt idx="14">
                  <c:v>1.07297207515026</c:v>
                </c:pt>
                <c:pt idx="15">
                  <c:v>1.05974448204144</c:v>
                </c:pt>
                <c:pt idx="16">
                  <c:v>1.04891464477404</c:v>
                </c:pt>
                <c:pt idx="17">
                  <c:v>1.04004792395239</c:v>
                </c:pt>
                <c:pt idx="18">
                  <c:v>1.03278846693675</c:v>
                </c:pt>
                <c:pt idx="19">
                  <c:v>1.0268449262274</c:v>
                </c:pt>
                <c:pt idx="20">
                  <c:v>1.02197876666648</c:v>
                </c:pt>
                <c:pt idx="21">
                  <c:v>1.01799469218457</c:v>
                </c:pt>
                <c:pt idx="22">
                  <c:v>1.01473280788368</c:v>
                </c:pt>
                <c:pt idx="23">
                  <c:v>1.01206220289356</c:v>
                </c:pt>
                <c:pt idx="24">
                  <c:v>1.00987569645882</c:v>
                </c:pt>
                <c:pt idx="25">
                  <c:v>1.0080855363989</c:v>
                </c:pt>
                <c:pt idx="26">
                  <c:v>1.00661987730491</c:v>
                </c:pt>
                <c:pt idx="27">
                  <c:v>1.00541989713114</c:v>
                </c:pt>
                <c:pt idx="28">
                  <c:v>1.00443743645978</c:v>
                </c:pt>
                <c:pt idx="29">
                  <c:v>1.00363306569445</c:v>
                </c:pt>
                <c:pt idx="30">
                  <c:v>1.002974502612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"S"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'RT3 Slab &amp; MIT star'!$E$26:$E$56</c:f>
              <c:numCache>
                <c:formatCode>0.00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</c:numCache>
            </c:numRef>
          </c:xVal>
          <c:yVal>
            <c:numRef>
              <c:f>'RT3 Slab &amp; MIT star'!$G$26:$G$56</c:f>
              <c:numCache>
                <c:formatCode>0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0"/>
        </c:ser>
        <c:axId val="63769224"/>
        <c:axId val="75388820"/>
      </c:scatterChart>
      <c:valAx>
        <c:axId val="637692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optical depth into slab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88820"/>
        <c:crosses val="autoZero"/>
        <c:crossBetween val="midCat"/>
      </c:valAx>
      <c:valAx>
        <c:axId val="753888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 / 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6922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 B: emergent spectrum (Balmer + Paschen lines, widths exaggerated)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"emergent I"</c:f>
              <c:strCache>
                <c:ptCount val="1"/>
                <c:pt idx="0">
                  <c:v>emergent I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'RT3 Slab &amp; MIT star'!$H$26:$H$346</c:f>
              <c:numCache>
                <c:formatCode>0</c:formatCode>
                <c:ptCount val="321"/>
                <c:pt idx="0">
                  <c:v>360</c:v>
                </c:pt>
                <c:pt idx="1">
                  <c:v>362</c:v>
                </c:pt>
                <c:pt idx="2">
                  <c:v>364</c:v>
                </c:pt>
                <c:pt idx="3">
                  <c:v>366</c:v>
                </c:pt>
                <c:pt idx="4">
                  <c:v>368</c:v>
                </c:pt>
                <c:pt idx="5">
                  <c:v>370</c:v>
                </c:pt>
                <c:pt idx="6">
                  <c:v>372</c:v>
                </c:pt>
                <c:pt idx="7">
                  <c:v>374</c:v>
                </c:pt>
                <c:pt idx="8">
                  <c:v>376</c:v>
                </c:pt>
                <c:pt idx="9">
                  <c:v>378</c:v>
                </c:pt>
                <c:pt idx="10">
                  <c:v>380</c:v>
                </c:pt>
                <c:pt idx="11">
                  <c:v>382</c:v>
                </c:pt>
                <c:pt idx="12">
                  <c:v>384</c:v>
                </c:pt>
                <c:pt idx="13">
                  <c:v>386</c:v>
                </c:pt>
                <c:pt idx="14">
                  <c:v>388</c:v>
                </c:pt>
                <c:pt idx="15">
                  <c:v>390</c:v>
                </c:pt>
                <c:pt idx="16">
                  <c:v>392</c:v>
                </c:pt>
                <c:pt idx="17">
                  <c:v>394</c:v>
                </c:pt>
                <c:pt idx="18">
                  <c:v>396</c:v>
                </c:pt>
                <c:pt idx="19">
                  <c:v>398</c:v>
                </c:pt>
                <c:pt idx="20">
                  <c:v>400</c:v>
                </c:pt>
                <c:pt idx="21">
                  <c:v>402</c:v>
                </c:pt>
                <c:pt idx="22">
                  <c:v>404</c:v>
                </c:pt>
                <c:pt idx="23">
                  <c:v>406</c:v>
                </c:pt>
                <c:pt idx="24">
                  <c:v>408</c:v>
                </c:pt>
                <c:pt idx="25">
                  <c:v>410</c:v>
                </c:pt>
                <c:pt idx="26">
                  <c:v>412</c:v>
                </c:pt>
                <c:pt idx="27">
                  <c:v>414</c:v>
                </c:pt>
                <c:pt idx="28">
                  <c:v>416</c:v>
                </c:pt>
                <c:pt idx="29">
                  <c:v>418</c:v>
                </c:pt>
                <c:pt idx="30">
                  <c:v>420</c:v>
                </c:pt>
                <c:pt idx="31">
                  <c:v>422</c:v>
                </c:pt>
                <c:pt idx="32">
                  <c:v>424</c:v>
                </c:pt>
                <c:pt idx="33">
                  <c:v>426</c:v>
                </c:pt>
                <c:pt idx="34">
                  <c:v>428</c:v>
                </c:pt>
                <c:pt idx="35">
                  <c:v>430</c:v>
                </c:pt>
                <c:pt idx="36">
                  <c:v>432</c:v>
                </c:pt>
                <c:pt idx="37">
                  <c:v>434</c:v>
                </c:pt>
                <c:pt idx="38">
                  <c:v>436</c:v>
                </c:pt>
                <c:pt idx="39">
                  <c:v>438</c:v>
                </c:pt>
                <c:pt idx="40">
                  <c:v>440</c:v>
                </c:pt>
                <c:pt idx="41">
                  <c:v>442</c:v>
                </c:pt>
                <c:pt idx="42">
                  <c:v>444</c:v>
                </c:pt>
                <c:pt idx="43">
                  <c:v>446</c:v>
                </c:pt>
                <c:pt idx="44">
                  <c:v>448</c:v>
                </c:pt>
                <c:pt idx="45">
                  <c:v>450</c:v>
                </c:pt>
                <c:pt idx="46">
                  <c:v>452</c:v>
                </c:pt>
                <c:pt idx="47">
                  <c:v>454</c:v>
                </c:pt>
                <c:pt idx="48">
                  <c:v>456</c:v>
                </c:pt>
                <c:pt idx="49">
                  <c:v>458</c:v>
                </c:pt>
                <c:pt idx="50">
                  <c:v>460</c:v>
                </c:pt>
                <c:pt idx="51">
                  <c:v>462</c:v>
                </c:pt>
                <c:pt idx="52">
                  <c:v>464</c:v>
                </c:pt>
                <c:pt idx="53">
                  <c:v>466</c:v>
                </c:pt>
                <c:pt idx="54">
                  <c:v>468</c:v>
                </c:pt>
                <c:pt idx="55">
                  <c:v>470</c:v>
                </c:pt>
                <c:pt idx="56">
                  <c:v>472</c:v>
                </c:pt>
                <c:pt idx="57">
                  <c:v>474</c:v>
                </c:pt>
                <c:pt idx="58">
                  <c:v>476</c:v>
                </c:pt>
                <c:pt idx="59">
                  <c:v>478</c:v>
                </c:pt>
                <c:pt idx="60">
                  <c:v>480</c:v>
                </c:pt>
                <c:pt idx="61">
                  <c:v>482</c:v>
                </c:pt>
                <c:pt idx="62">
                  <c:v>484</c:v>
                </c:pt>
                <c:pt idx="63">
                  <c:v>486</c:v>
                </c:pt>
                <c:pt idx="64">
                  <c:v>488</c:v>
                </c:pt>
                <c:pt idx="65">
                  <c:v>490</c:v>
                </c:pt>
                <c:pt idx="66">
                  <c:v>492</c:v>
                </c:pt>
                <c:pt idx="67">
                  <c:v>494</c:v>
                </c:pt>
                <c:pt idx="68">
                  <c:v>496</c:v>
                </c:pt>
                <c:pt idx="69">
                  <c:v>498</c:v>
                </c:pt>
                <c:pt idx="70">
                  <c:v>500</c:v>
                </c:pt>
                <c:pt idx="71">
                  <c:v>502</c:v>
                </c:pt>
                <c:pt idx="72">
                  <c:v>504</c:v>
                </c:pt>
                <c:pt idx="73">
                  <c:v>506</c:v>
                </c:pt>
                <c:pt idx="74">
                  <c:v>508</c:v>
                </c:pt>
                <c:pt idx="75">
                  <c:v>510</c:v>
                </c:pt>
                <c:pt idx="76">
                  <c:v>512</c:v>
                </c:pt>
                <c:pt idx="77">
                  <c:v>514</c:v>
                </c:pt>
                <c:pt idx="78">
                  <c:v>516</c:v>
                </c:pt>
                <c:pt idx="79">
                  <c:v>518</c:v>
                </c:pt>
                <c:pt idx="80">
                  <c:v>520</c:v>
                </c:pt>
                <c:pt idx="81">
                  <c:v>522</c:v>
                </c:pt>
                <c:pt idx="82">
                  <c:v>524</c:v>
                </c:pt>
                <c:pt idx="83">
                  <c:v>526</c:v>
                </c:pt>
                <c:pt idx="84">
                  <c:v>528</c:v>
                </c:pt>
                <c:pt idx="85">
                  <c:v>530</c:v>
                </c:pt>
                <c:pt idx="86">
                  <c:v>532</c:v>
                </c:pt>
                <c:pt idx="87">
                  <c:v>534</c:v>
                </c:pt>
                <c:pt idx="88">
                  <c:v>536</c:v>
                </c:pt>
                <c:pt idx="89">
                  <c:v>538</c:v>
                </c:pt>
                <c:pt idx="90">
                  <c:v>540</c:v>
                </c:pt>
                <c:pt idx="91">
                  <c:v>542</c:v>
                </c:pt>
                <c:pt idx="92">
                  <c:v>544</c:v>
                </c:pt>
                <c:pt idx="93">
                  <c:v>546</c:v>
                </c:pt>
                <c:pt idx="94">
                  <c:v>548</c:v>
                </c:pt>
                <c:pt idx="95">
                  <c:v>550</c:v>
                </c:pt>
                <c:pt idx="96">
                  <c:v>552</c:v>
                </c:pt>
                <c:pt idx="97">
                  <c:v>554</c:v>
                </c:pt>
                <c:pt idx="98">
                  <c:v>556</c:v>
                </c:pt>
                <c:pt idx="99">
                  <c:v>558</c:v>
                </c:pt>
                <c:pt idx="100">
                  <c:v>560</c:v>
                </c:pt>
                <c:pt idx="101">
                  <c:v>562</c:v>
                </c:pt>
                <c:pt idx="102">
                  <c:v>564</c:v>
                </c:pt>
                <c:pt idx="103">
                  <c:v>566</c:v>
                </c:pt>
                <c:pt idx="104">
                  <c:v>568</c:v>
                </c:pt>
                <c:pt idx="105">
                  <c:v>570</c:v>
                </c:pt>
                <c:pt idx="106">
                  <c:v>572</c:v>
                </c:pt>
                <c:pt idx="107">
                  <c:v>574</c:v>
                </c:pt>
                <c:pt idx="108">
                  <c:v>576</c:v>
                </c:pt>
                <c:pt idx="109">
                  <c:v>578</c:v>
                </c:pt>
                <c:pt idx="110">
                  <c:v>580</c:v>
                </c:pt>
                <c:pt idx="111">
                  <c:v>582</c:v>
                </c:pt>
                <c:pt idx="112">
                  <c:v>584</c:v>
                </c:pt>
                <c:pt idx="113">
                  <c:v>586</c:v>
                </c:pt>
                <c:pt idx="114">
                  <c:v>588</c:v>
                </c:pt>
                <c:pt idx="115">
                  <c:v>590</c:v>
                </c:pt>
                <c:pt idx="116">
                  <c:v>592</c:v>
                </c:pt>
                <c:pt idx="117">
                  <c:v>594</c:v>
                </c:pt>
                <c:pt idx="118">
                  <c:v>596</c:v>
                </c:pt>
                <c:pt idx="119">
                  <c:v>598</c:v>
                </c:pt>
                <c:pt idx="120">
                  <c:v>600</c:v>
                </c:pt>
                <c:pt idx="121">
                  <c:v>602</c:v>
                </c:pt>
                <c:pt idx="122">
                  <c:v>604</c:v>
                </c:pt>
                <c:pt idx="123">
                  <c:v>606</c:v>
                </c:pt>
                <c:pt idx="124">
                  <c:v>608</c:v>
                </c:pt>
                <c:pt idx="125">
                  <c:v>610</c:v>
                </c:pt>
                <c:pt idx="126">
                  <c:v>612</c:v>
                </c:pt>
                <c:pt idx="127">
                  <c:v>614</c:v>
                </c:pt>
                <c:pt idx="128">
                  <c:v>616</c:v>
                </c:pt>
                <c:pt idx="129">
                  <c:v>618</c:v>
                </c:pt>
                <c:pt idx="130">
                  <c:v>620</c:v>
                </c:pt>
                <c:pt idx="131">
                  <c:v>622</c:v>
                </c:pt>
                <c:pt idx="132">
                  <c:v>624</c:v>
                </c:pt>
                <c:pt idx="133">
                  <c:v>626</c:v>
                </c:pt>
                <c:pt idx="134">
                  <c:v>628</c:v>
                </c:pt>
                <c:pt idx="135">
                  <c:v>630</c:v>
                </c:pt>
                <c:pt idx="136">
                  <c:v>632</c:v>
                </c:pt>
                <c:pt idx="137">
                  <c:v>634</c:v>
                </c:pt>
                <c:pt idx="138">
                  <c:v>636</c:v>
                </c:pt>
                <c:pt idx="139">
                  <c:v>638</c:v>
                </c:pt>
                <c:pt idx="140">
                  <c:v>640</c:v>
                </c:pt>
                <c:pt idx="141">
                  <c:v>642</c:v>
                </c:pt>
                <c:pt idx="142">
                  <c:v>644</c:v>
                </c:pt>
                <c:pt idx="143">
                  <c:v>646</c:v>
                </c:pt>
                <c:pt idx="144">
                  <c:v>648</c:v>
                </c:pt>
                <c:pt idx="145">
                  <c:v>650</c:v>
                </c:pt>
                <c:pt idx="146">
                  <c:v>652</c:v>
                </c:pt>
                <c:pt idx="147">
                  <c:v>654</c:v>
                </c:pt>
                <c:pt idx="148">
                  <c:v>656</c:v>
                </c:pt>
                <c:pt idx="149">
                  <c:v>658</c:v>
                </c:pt>
                <c:pt idx="150">
                  <c:v>660</c:v>
                </c:pt>
                <c:pt idx="151">
                  <c:v>662</c:v>
                </c:pt>
                <c:pt idx="152">
                  <c:v>664</c:v>
                </c:pt>
                <c:pt idx="153">
                  <c:v>666</c:v>
                </c:pt>
                <c:pt idx="154">
                  <c:v>668</c:v>
                </c:pt>
                <c:pt idx="155">
                  <c:v>670</c:v>
                </c:pt>
                <c:pt idx="156">
                  <c:v>672</c:v>
                </c:pt>
                <c:pt idx="157">
                  <c:v>674</c:v>
                </c:pt>
                <c:pt idx="158">
                  <c:v>676</c:v>
                </c:pt>
                <c:pt idx="159">
                  <c:v>678</c:v>
                </c:pt>
                <c:pt idx="160">
                  <c:v>680</c:v>
                </c:pt>
                <c:pt idx="161">
                  <c:v>682</c:v>
                </c:pt>
                <c:pt idx="162">
                  <c:v>684</c:v>
                </c:pt>
                <c:pt idx="163">
                  <c:v>686</c:v>
                </c:pt>
                <c:pt idx="164">
                  <c:v>688</c:v>
                </c:pt>
                <c:pt idx="165">
                  <c:v>690</c:v>
                </c:pt>
                <c:pt idx="166">
                  <c:v>692</c:v>
                </c:pt>
                <c:pt idx="167">
                  <c:v>694</c:v>
                </c:pt>
                <c:pt idx="168">
                  <c:v>696</c:v>
                </c:pt>
                <c:pt idx="169">
                  <c:v>698</c:v>
                </c:pt>
                <c:pt idx="170">
                  <c:v>700</c:v>
                </c:pt>
                <c:pt idx="171">
                  <c:v>702</c:v>
                </c:pt>
                <c:pt idx="172">
                  <c:v>704</c:v>
                </c:pt>
                <c:pt idx="173">
                  <c:v>706</c:v>
                </c:pt>
                <c:pt idx="174">
                  <c:v>708</c:v>
                </c:pt>
                <c:pt idx="175">
                  <c:v>710</c:v>
                </c:pt>
                <c:pt idx="176">
                  <c:v>712</c:v>
                </c:pt>
                <c:pt idx="177">
                  <c:v>714</c:v>
                </c:pt>
                <c:pt idx="178">
                  <c:v>716</c:v>
                </c:pt>
                <c:pt idx="179">
                  <c:v>718</c:v>
                </c:pt>
                <c:pt idx="180">
                  <c:v>720</c:v>
                </c:pt>
                <c:pt idx="181">
                  <c:v>722</c:v>
                </c:pt>
                <c:pt idx="182">
                  <c:v>724</c:v>
                </c:pt>
                <c:pt idx="183">
                  <c:v>726</c:v>
                </c:pt>
                <c:pt idx="184">
                  <c:v>728</c:v>
                </c:pt>
                <c:pt idx="185">
                  <c:v>730</c:v>
                </c:pt>
                <c:pt idx="186">
                  <c:v>732</c:v>
                </c:pt>
                <c:pt idx="187">
                  <c:v>734</c:v>
                </c:pt>
                <c:pt idx="188">
                  <c:v>736</c:v>
                </c:pt>
                <c:pt idx="189">
                  <c:v>738</c:v>
                </c:pt>
                <c:pt idx="190">
                  <c:v>740</c:v>
                </c:pt>
                <c:pt idx="191">
                  <c:v>742</c:v>
                </c:pt>
                <c:pt idx="192">
                  <c:v>744</c:v>
                </c:pt>
                <c:pt idx="193">
                  <c:v>746</c:v>
                </c:pt>
                <c:pt idx="194">
                  <c:v>748</c:v>
                </c:pt>
                <c:pt idx="195">
                  <c:v>750</c:v>
                </c:pt>
                <c:pt idx="196">
                  <c:v>752</c:v>
                </c:pt>
                <c:pt idx="197">
                  <c:v>754</c:v>
                </c:pt>
                <c:pt idx="198">
                  <c:v>756</c:v>
                </c:pt>
                <c:pt idx="199">
                  <c:v>758</c:v>
                </c:pt>
                <c:pt idx="200">
                  <c:v>760</c:v>
                </c:pt>
                <c:pt idx="201">
                  <c:v>762</c:v>
                </c:pt>
                <c:pt idx="202">
                  <c:v>764</c:v>
                </c:pt>
                <c:pt idx="203">
                  <c:v>766</c:v>
                </c:pt>
                <c:pt idx="204">
                  <c:v>768</c:v>
                </c:pt>
                <c:pt idx="205">
                  <c:v>770</c:v>
                </c:pt>
                <c:pt idx="206">
                  <c:v>772</c:v>
                </c:pt>
                <c:pt idx="207">
                  <c:v>774</c:v>
                </c:pt>
                <c:pt idx="208">
                  <c:v>776</c:v>
                </c:pt>
                <c:pt idx="209">
                  <c:v>778</c:v>
                </c:pt>
                <c:pt idx="210">
                  <c:v>780</c:v>
                </c:pt>
                <c:pt idx="211">
                  <c:v>782</c:v>
                </c:pt>
                <c:pt idx="212">
                  <c:v>784</c:v>
                </c:pt>
                <c:pt idx="213">
                  <c:v>786</c:v>
                </c:pt>
                <c:pt idx="214">
                  <c:v>788</c:v>
                </c:pt>
                <c:pt idx="215">
                  <c:v>790</c:v>
                </c:pt>
                <c:pt idx="216">
                  <c:v>792</c:v>
                </c:pt>
                <c:pt idx="217">
                  <c:v>794</c:v>
                </c:pt>
                <c:pt idx="218">
                  <c:v>796</c:v>
                </c:pt>
                <c:pt idx="219">
                  <c:v>798</c:v>
                </c:pt>
                <c:pt idx="220">
                  <c:v>800</c:v>
                </c:pt>
                <c:pt idx="221">
                  <c:v>802</c:v>
                </c:pt>
                <c:pt idx="222">
                  <c:v>804</c:v>
                </c:pt>
                <c:pt idx="223">
                  <c:v>806</c:v>
                </c:pt>
                <c:pt idx="224">
                  <c:v>808</c:v>
                </c:pt>
                <c:pt idx="225">
                  <c:v>810</c:v>
                </c:pt>
                <c:pt idx="226">
                  <c:v>812</c:v>
                </c:pt>
                <c:pt idx="227">
                  <c:v>814</c:v>
                </c:pt>
                <c:pt idx="228">
                  <c:v>816</c:v>
                </c:pt>
                <c:pt idx="229">
                  <c:v>818</c:v>
                </c:pt>
                <c:pt idx="230">
                  <c:v>820</c:v>
                </c:pt>
                <c:pt idx="231">
                  <c:v>822</c:v>
                </c:pt>
                <c:pt idx="232">
                  <c:v>824</c:v>
                </c:pt>
                <c:pt idx="233">
                  <c:v>826</c:v>
                </c:pt>
                <c:pt idx="234">
                  <c:v>828</c:v>
                </c:pt>
                <c:pt idx="235">
                  <c:v>830</c:v>
                </c:pt>
                <c:pt idx="236">
                  <c:v>832</c:v>
                </c:pt>
                <c:pt idx="237">
                  <c:v>834</c:v>
                </c:pt>
                <c:pt idx="238">
                  <c:v>836</c:v>
                </c:pt>
                <c:pt idx="239">
                  <c:v>838</c:v>
                </c:pt>
                <c:pt idx="240">
                  <c:v>840</c:v>
                </c:pt>
                <c:pt idx="241">
                  <c:v>842</c:v>
                </c:pt>
                <c:pt idx="242">
                  <c:v>844</c:v>
                </c:pt>
                <c:pt idx="243">
                  <c:v>846</c:v>
                </c:pt>
                <c:pt idx="244">
                  <c:v>848</c:v>
                </c:pt>
                <c:pt idx="245">
                  <c:v>850</c:v>
                </c:pt>
                <c:pt idx="246">
                  <c:v>852</c:v>
                </c:pt>
                <c:pt idx="247">
                  <c:v>854</c:v>
                </c:pt>
                <c:pt idx="248">
                  <c:v>856</c:v>
                </c:pt>
                <c:pt idx="249">
                  <c:v>858</c:v>
                </c:pt>
                <c:pt idx="250">
                  <c:v>860</c:v>
                </c:pt>
                <c:pt idx="251">
                  <c:v>862</c:v>
                </c:pt>
                <c:pt idx="252">
                  <c:v>864</c:v>
                </c:pt>
                <c:pt idx="253">
                  <c:v>866</c:v>
                </c:pt>
                <c:pt idx="254">
                  <c:v>868</c:v>
                </c:pt>
                <c:pt idx="255">
                  <c:v>870</c:v>
                </c:pt>
                <c:pt idx="256">
                  <c:v>872</c:v>
                </c:pt>
                <c:pt idx="257">
                  <c:v>874</c:v>
                </c:pt>
                <c:pt idx="258">
                  <c:v>876</c:v>
                </c:pt>
                <c:pt idx="259">
                  <c:v>878</c:v>
                </c:pt>
                <c:pt idx="260">
                  <c:v>880</c:v>
                </c:pt>
                <c:pt idx="261">
                  <c:v>882</c:v>
                </c:pt>
                <c:pt idx="262">
                  <c:v>884</c:v>
                </c:pt>
                <c:pt idx="263">
                  <c:v>886</c:v>
                </c:pt>
                <c:pt idx="264">
                  <c:v>888</c:v>
                </c:pt>
                <c:pt idx="265">
                  <c:v>890</c:v>
                </c:pt>
                <c:pt idx="266">
                  <c:v>892</c:v>
                </c:pt>
                <c:pt idx="267">
                  <c:v>894</c:v>
                </c:pt>
                <c:pt idx="268">
                  <c:v>896</c:v>
                </c:pt>
                <c:pt idx="269">
                  <c:v>898</c:v>
                </c:pt>
                <c:pt idx="270">
                  <c:v>900</c:v>
                </c:pt>
                <c:pt idx="271">
                  <c:v>902</c:v>
                </c:pt>
                <c:pt idx="272">
                  <c:v>904</c:v>
                </c:pt>
                <c:pt idx="273">
                  <c:v>906</c:v>
                </c:pt>
                <c:pt idx="274">
                  <c:v>908</c:v>
                </c:pt>
                <c:pt idx="275">
                  <c:v>910</c:v>
                </c:pt>
                <c:pt idx="276">
                  <c:v>912</c:v>
                </c:pt>
                <c:pt idx="277">
                  <c:v>914</c:v>
                </c:pt>
                <c:pt idx="278">
                  <c:v>916</c:v>
                </c:pt>
                <c:pt idx="279">
                  <c:v>918</c:v>
                </c:pt>
                <c:pt idx="280">
                  <c:v>920</c:v>
                </c:pt>
                <c:pt idx="281">
                  <c:v>922</c:v>
                </c:pt>
                <c:pt idx="282">
                  <c:v>924</c:v>
                </c:pt>
                <c:pt idx="283">
                  <c:v>926</c:v>
                </c:pt>
                <c:pt idx="284">
                  <c:v>928</c:v>
                </c:pt>
                <c:pt idx="285">
                  <c:v>930</c:v>
                </c:pt>
                <c:pt idx="286">
                  <c:v>932</c:v>
                </c:pt>
                <c:pt idx="287">
                  <c:v>934</c:v>
                </c:pt>
                <c:pt idx="288">
                  <c:v>936</c:v>
                </c:pt>
                <c:pt idx="289">
                  <c:v>938</c:v>
                </c:pt>
                <c:pt idx="290">
                  <c:v>940</c:v>
                </c:pt>
                <c:pt idx="291">
                  <c:v>942</c:v>
                </c:pt>
                <c:pt idx="292">
                  <c:v>944</c:v>
                </c:pt>
                <c:pt idx="293">
                  <c:v>946</c:v>
                </c:pt>
                <c:pt idx="294">
                  <c:v>948</c:v>
                </c:pt>
                <c:pt idx="295">
                  <c:v>950</c:v>
                </c:pt>
                <c:pt idx="296">
                  <c:v>952</c:v>
                </c:pt>
                <c:pt idx="297">
                  <c:v>954</c:v>
                </c:pt>
                <c:pt idx="298">
                  <c:v>956</c:v>
                </c:pt>
                <c:pt idx="299">
                  <c:v>958</c:v>
                </c:pt>
                <c:pt idx="300">
                  <c:v>960</c:v>
                </c:pt>
                <c:pt idx="301">
                  <c:v>962</c:v>
                </c:pt>
                <c:pt idx="302">
                  <c:v>964</c:v>
                </c:pt>
                <c:pt idx="303">
                  <c:v>966</c:v>
                </c:pt>
                <c:pt idx="304">
                  <c:v>968</c:v>
                </c:pt>
                <c:pt idx="305">
                  <c:v>970</c:v>
                </c:pt>
                <c:pt idx="306">
                  <c:v>972</c:v>
                </c:pt>
                <c:pt idx="307">
                  <c:v>974</c:v>
                </c:pt>
                <c:pt idx="308">
                  <c:v>976</c:v>
                </c:pt>
                <c:pt idx="309">
                  <c:v>978</c:v>
                </c:pt>
                <c:pt idx="310">
                  <c:v>980</c:v>
                </c:pt>
                <c:pt idx="311">
                  <c:v>982</c:v>
                </c:pt>
                <c:pt idx="312">
                  <c:v>984</c:v>
                </c:pt>
                <c:pt idx="313">
                  <c:v>986</c:v>
                </c:pt>
                <c:pt idx="314">
                  <c:v>988</c:v>
                </c:pt>
                <c:pt idx="315">
                  <c:v>990</c:v>
                </c:pt>
                <c:pt idx="316">
                  <c:v>992</c:v>
                </c:pt>
                <c:pt idx="317">
                  <c:v>994</c:v>
                </c:pt>
                <c:pt idx="318">
                  <c:v>996</c:v>
                </c:pt>
                <c:pt idx="319">
                  <c:v>998</c:v>
                </c:pt>
                <c:pt idx="320">
                  <c:v>1000</c:v>
                </c:pt>
              </c:numCache>
            </c:numRef>
          </c:xVal>
          <c:yVal>
            <c:numRef>
              <c:f>'RT3 Slab &amp; MIT star'!$J$26:$J$346</c:f>
              <c:numCache>
                <c:formatCode>0.00</c:formatCode>
                <c:ptCount val="321"/>
                <c:pt idx="0">
                  <c:v>41.3919256742774</c:v>
                </c:pt>
                <c:pt idx="1">
                  <c:v>41.6561499237572</c:v>
                </c:pt>
                <c:pt idx="2">
                  <c:v>41.9128852756556</c:v>
                </c:pt>
                <c:pt idx="3">
                  <c:v>42.16216091735</c:v>
                </c:pt>
                <c:pt idx="4">
                  <c:v>42.4040099277473</c:v>
                </c:pt>
                <c:pt idx="5">
                  <c:v>42.6383112585247</c:v>
                </c:pt>
                <c:pt idx="6">
                  <c:v>42.6782949973745</c:v>
                </c:pt>
                <c:pt idx="7">
                  <c:v>41.7382706616633</c:v>
                </c:pt>
                <c:pt idx="8">
                  <c:v>41.9446922978097</c:v>
                </c:pt>
                <c:pt idx="9">
                  <c:v>42.325628405241</c:v>
                </c:pt>
                <c:pt idx="10">
                  <c:v>41.5874353418117</c:v>
                </c:pt>
                <c:pt idx="11">
                  <c:v>43.3410780675147</c:v>
                </c:pt>
                <c:pt idx="12">
                  <c:v>41.4045707833749</c:v>
                </c:pt>
                <c:pt idx="13">
                  <c:v>44.180798459692</c:v>
                </c:pt>
                <c:pt idx="14">
                  <c:v>42.3790459339508</c:v>
                </c:pt>
                <c:pt idx="15">
                  <c:v>42.4348580763102</c:v>
                </c:pt>
                <c:pt idx="16">
                  <c:v>44.7345214933066</c:v>
                </c:pt>
                <c:pt idx="17">
                  <c:v>44.8858599007127</c:v>
                </c:pt>
                <c:pt idx="18">
                  <c:v>42.4157311593682</c:v>
                </c:pt>
                <c:pt idx="19">
                  <c:v>41.5360790964015</c:v>
                </c:pt>
                <c:pt idx="20">
                  <c:v>45.2823515760933</c:v>
                </c:pt>
                <c:pt idx="21">
                  <c:v>45.4266617154349</c:v>
                </c:pt>
                <c:pt idx="22">
                  <c:v>45.5439373055755</c:v>
                </c:pt>
                <c:pt idx="23">
                  <c:v>45.6549111115064</c:v>
                </c:pt>
                <c:pt idx="24">
                  <c:v>45.4898311816951</c:v>
                </c:pt>
                <c:pt idx="25">
                  <c:v>37.1177892411699</c:v>
                </c:pt>
                <c:pt idx="26">
                  <c:v>44.5995939968747</c:v>
                </c:pt>
                <c:pt idx="27">
                  <c:v>46.0370699542029</c:v>
                </c:pt>
                <c:pt idx="28">
                  <c:v>46.1186521426211</c:v>
                </c:pt>
                <c:pt idx="29">
                  <c:v>46.1937028761527</c:v>
                </c:pt>
                <c:pt idx="30">
                  <c:v>46.2630489692527</c:v>
                </c:pt>
                <c:pt idx="31">
                  <c:v>46.3267739756363</c:v>
                </c:pt>
                <c:pt idx="32">
                  <c:v>46.3849618119378</c:v>
                </c:pt>
                <c:pt idx="33">
                  <c:v>46.4376966858646</c:v>
                </c:pt>
                <c:pt idx="34">
                  <c:v>46.4850630257928</c:v>
                </c:pt>
                <c:pt idx="35">
                  <c:v>46.5270432740814</c:v>
                </c:pt>
                <c:pt idx="36">
                  <c:v>45.8865788478374</c:v>
                </c:pt>
                <c:pt idx="37">
                  <c:v>32.2019127474003</c:v>
                </c:pt>
                <c:pt idx="38">
                  <c:v>44.8953283509926</c:v>
                </c:pt>
                <c:pt idx="39">
                  <c:v>46.6436476064452</c:v>
                </c:pt>
                <c:pt idx="40">
                  <c:v>46.6612612824751</c:v>
                </c:pt>
                <c:pt idx="41">
                  <c:v>46.6734169943819</c:v>
                </c:pt>
                <c:pt idx="42">
                  <c:v>46.6808800536115</c:v>
                </c:pt>
                <c:pt idx="43">
                  <c:v>46.6837341783456</c:v>
                </c:pt>
                <c:pt idx="44">
                  <c:v>46.6820627548836</c:v>
                </c:pt>
                <c:pt idx="45">
                  <c:v>46.6759487970779</c:v>
                </c:pt>
                <c:pt idx="46">
                  <c:v>46.6654749069356</c:v>
                </c:pt>
                <c:pt idx="47">
                  <c:v>46.6507232373343</c:v>
                </c:pt>
                <c:pt idx="48">
                  <c:v>46.6317754567851</c:v>
                </c:pt>
                <c:pt idx="49">
                  <c:v>46.6087127161741</c:v>
                </c:pt>
                <c:pt idx="50">
                  <c:v>46.5816156174209</c:v>
                </c:pt>
                <c:pt idx="51">
                  <c:v>46.5505641839839</c:v>
                </c:pt>
                <c:pt idx="52">
                  <c:v>46.5156378331557</c:v>
                </c:pt>
                <c:pt idx="53">
                  <c:v>46.4769153500813</c:v>
                </c:pt>
                <c:pt idx="54">
                  <c:v>46.4344748634415</c:v>
                </c:pt>
                <c:pt idx="55">
                  <c:v>46.3883938227407</c:v>
                </c:pt>
                <c:pt idx="56">
                  <c:v>46.3387489771423</c:v>
                </c:pt>
                <c:pt idx="57">
                  <c:v>46.2856163557932</c:v>
                </c:pt>
                <c:pt idx="58">
                  <c:v>46.2290712495833</c:v>
                </c:pt>
                <c:pt idx="59">
                  <c:v>46.1691881942855</c:v>
                </c:pt>
                <c:pt idx="60">
                  <c:v>46.1060409549763</c:v>
                </c:pt>
                <c:pt idx="61">
                  <c:v>46.0395967591516</c:v>
                </c:pt>
                <c:pt idx="62">
                  <c:v>45.0470894741415</c:v>
                </c:pt>
                <c:pt idx="63">
                  <c:v>23.9623501556006</c:v>
                </c:pt>
                <c:pt idx="64">
                  <c:v>41.8292976583444</c:v>
                </c:pt>
                <c:pt idx="65">
                  <c:v>45.7417210921374</c:v>
                </c:pt>
                <c:pt idx="66">
                  <c:v>45.6626400559454</c:v>
                </c:pt>
                <c:pt idx="67">
                  <c:v>45.5786415269768</c:v>
                </c:pt>
                <c:pt idx="68">
                  <c:v>45.4919397220218</c:v>
                </c:pt>
                <c:pt idx="69">
                  <c:v>45.4026009702264</c:v>
                </c:pt>
                <c:pt idx="70">
                  <c:v>45.3106907328641</c:v>
                </c:pt>
                <c:pt idx="71">
                  <c:v>45.2162736035312</c:v>
                </c:pt>
                <c:pt idx="72">
                  <c:v>45.1194133049002</c:v>
                </c:pt>
                <c:pt idx="73">
                  <c:v>45.0201726862342</c:v>
                </c:pt>
                <c:pt idx="74">
                  <c:v>44.9186137216231</c:v>
                </c:pt>
                <c:pt idx="75">
                  <c:v>44.8147975089103</c:v>
                </c:pt>
                <c:pt idx="76">
                  <c:v>44.7087842692751</c:v>
                </c:pt>
                <c:pt idx="77">
                  <c:v>44.6006333474403</c:v>
                </c:pt>
                <c:pt idx="78">
                  <c:v>44.4904032124734</c:v>
                </c:pt>
                <c:pt idx="79">
                  <c:v>44.3781514591519</c:v>
                </c:pt>
                <c:pt idx="80">
                  <c:v>44.2639348098633</c:v>
                </c:pt>
                <c:pt idx="81">
                  <c:v>44.1478091170142</c:v>
                </c:pt>
                <c:pt idx="82">
                  <c:v>44.0298293659181</c:v>
                </c:pt>
                <c:pt idx="83">
                  <c:v>43.9100496781401</c:v>
                </c:pt>
                <c:pt idx="84">
                  <c:v>43.7885233152703</c:v>
                </c:pt>
                <c:pt idx="85">
                  <c:v>43.6653026831038</c:v>
                </c:pt>
                <c:pt idx="86">
                  <c:v>43.5404393362037</c:v>
                </c:pt>
                <c:pt idx="87">
                  <c:v>43.4139839828245</c:v>
                </c:pt>
                <c:pt idx="88">
                  <c:v>43.2859864901747</c:v>
                </c:pt>
                <c:pt idx="89">
                  <c:v>43.1564958899981</c:v>
                </c:pt>
                <c:pt idx="90">
                  <c:v>43.0255603844537</c:v>
                </c:pt>
                <c:pt idx="91">
                  <c:v>42.8932273522756</c:v>
                </c:pt>
                <c:pt idx="92">
                  <c:v>42.7595433551936</c:v>
                </c:pt>
                <c:pt idx="93">
                  <c:v>42.6245541445981</c:v>
                </c:pt>
                <c:pt idx="94">
                  <c:v>42.4883046684311</c:v>
                </c:pt>
                <c:pt idx="95">
                  <c:v>42.3508390782887</c:v>
                </c:pt>
                <c:pt idx="96">
                  <c:v>42.2122007367176</c:v>
                </c:pt>
                <c:pt idx="97">
                  <c:v>42.0724322246922</c:v>
                </c:pt>
                <c:pt idx="98">
                  <c:v>41.9315753492573</c:v>
                </c:pt>
                <c:pt idx="99">
                  <c:v>41.7896711513226</c:v>
                </c:pt>
                <c:pt idx="100">
                  <c:v>41.6467599135965</c:v>
                </c:pt>
                <c:pt idx="101">
                  <c:v>41.5028811686453</c:v>
                </c:pt>
                <c:pt idx="102">
                  <c:v>41.3580737070679</c:v>
                </c:pt>
                <c:pt idx="103">
                  <c:v>41.212375585772</c:v>
                </c:pt>
                <c:pt idx="104">
                  <c:v>41.0658241363428</c:v>
                </c:pt>
                <c:pt idx="105">
                  <c:v>40.9184559734927</c:v>
                </c:pt>
                <c:pt idx="106">
                  <c:v>40.7703070035821</c:v>
                </c:pt>
                <c:pt idx="107">
                  <c:v>40.6214124332018</c:v>
                </c:pt>
                <c:pt idx="108">
                  <c:v>40.4718067778081</c:v>
                </c:pt>
                <c:pt idx="109">
                  <c:v>40.3215238704014</c:v>
                </c:pt>
                <c:pt idx="110">
                  <c:v>40.1705968702407</c:v>
                </c:pt>
                <c:pt idx="111">
                  <c:v>40.019058271585</c:v>
                </c:pt>
                <c:pt idx="112">
                  <c:v>39.8669399124554</c:v>
                </c:pt>
                <c:pt idx="113">
                  <c:v>39.7142729834099</c:v>
                </c:pt>
                <c:pt idx="114">
                  <c:v>39.5610880363244</c:v>
                </c:pt>
                <c:pt idx="115">
                  <c:v>39.4074149931733</c:v>
                </c:pt>
                <c:pt idx="116">
                  <c:v>39.2532831548036</c:v>
                </c:pt>
                <c:pt idx="117">
                  <c:v>39.0987212096976</c:v>
                </c:pt>
                <c:pt idx="118">
                  <c:v>38.9437572427163</c:v>
                </c:pt>
                <c:pt idx="119">
                  <c:v>38.7884187438221</c:v>
                </c:pt>
                <c:pt idx="120">
                  <c:v>38.6327326167717</c:v>
                </c:pt>
                <c:pt idx="121">
                  <c:v>38.4767251877776</c:v>
                </c:pt>
                <c:pt idx="122">
                  <c:v>38.3204222141333</c:v>
                </c:pt>
                <c:pt idx="123">
                  <c:v>38.1638488927962</c:v>
                </c:pt>
                <c:pt idx="124">
                  <c:v>38.007029868927</c:v>
                </c:pt>
                <c:pt idx="125">
                  <c:v>37.8499892443799</c:v>
                </c:pt>
                <c:pt idx="126">
                  <c:v>37.6927505861418</c:v>
                </c:pt>
                <c:pt idx="127">
                  <c:v>37.535336934715</c:v>
                </c:pt>
                <c:pt idx="128">
                  <c:v>37.377770812444</c:v>
                </c:pt>
                <c:pt idx="129">
                  <c:v>37.2200742317789</c:v>
                </c:pt>
                <c:pt idx="130">
                  <c:v>37.0622687034777</c:v>
                </c:pt>
                <c:pt idx="131">
                  <c:v>36.9043752447412</c:v>
                </c:pt>
                <c:pt idx="132">
                  <c:v>36.74641438728</c:v>
                </c:pt>
                <c:pt idx="133">
                  <c:v>36.588406185312</c:v>
                </c:pt>
                <c:pt idx="134">
                  <c:v>36.4303702234864</c:v>
                </c:pt>
                <c:pt idx="135">
                  <c:v>36.2723256247352</c:v>
                </c:pt>
                <c:pt idx="136">
                  <c:v>36.1142910580477</c:v>
                </c:pt>
                <c:pt idx="137">
                  <c:v>35.9562847461689</c:v>
                </c:pt>
                <c:pt idx="138">
                  <c:v>35.7983244732187</c:v>
                </c:pt>
                <c:pt idx="139">
                  <c:v>35.640427592232</c:v>
                </c:pt>
                <c:pt idx="140">
                  <c:v>35.4826110326176</c:v>
                </c:pt>
                <c:pt idx="141">
                  <c:v>35.324891307535</c:v>
                </c:pt>
                <c:pt idx="142">
                  <c:v>35.1672845211891</c:v>
                </c:pt>
                <c:pt idx="143">
                  <c:v>35.0098063760409</c:v>
                </c:pt>
                <c:pt idx="144">
                  <c:v>34.852472179934</c:v>
                </c:pt>
                <c:pt idx="145">
                  <c:v>34.6952968531233</c:v>
                </c:pt>
                <c:pt idx="146">
                  <c:v>34.5382431620632</c:v>
                </c:pt>
                <c:pt idx="147">
                  <c:v>33.6092098974756</c:v>
                </c:pt>
                <c:pt idx="148">
                  <c:v>12.3329137310763</c:v>
                </c:pt>
                <c:pt idx="149">
                  <c:v>25.485000021589</c:v>
                </c:pt>
                <c:pt idx="150">
                  <c:v>33.9032319283508</c:v>
                </c:pt>
                <c:pt idx="151">
                  <c:v>33.756369552694</c:v>
                </c:pt>
                <c:pt idx="152">
                  <c:v>33.6006929920856</c:v>
                </c:pt>
                <c:pt idx="153">
                  <c:v>33.4452814962654</c:v>
                </c:pt>
                <c:pt idx="154">
                  <c:v>33.2901468306833</c:v>
                </c:pt>
                <c:pt idx="155">
                  <c:v>33.1353004082396</c:v>
                </c:pt>
                <c:pt idx="156">
                  <c:v>32.9807533260348</c:v>
                </c:pt>
                <c:pt idx="157">
                  <c:v>32.8265163713766</c:v>
                </c:pt>
                <c:pt idx="158">
                  <c:v>32.6726000277009</c:v>
                </c:pt>
                <c:pt idx="159">
                  <c:v>32.5190144804085</c:v>
                </c:pt>
                <c:pt idx="160">
                  <c:v>32.3657696226149</c:v>
                </c:pt>
                <c:pt idx="161">
                  <c:v>32.2128750608176</c:v>
                </c:pt>
                <c:pt idx="162">
                  <c:v>32.0603401204778</c:v>
                </c:pt>
                <c:pt idx="163">
                  <c:v>31.9081738515196</c:v>
                </c:pt>
                <c:pt idx="164">
                  <c:v>31.7563850337448</c:v>
                </c:pt>
                <c:pt idx="165">
                  <c:v>31.6049821821669</c:v>
                </c:pt>
                <c:pt idx="166">
                  <c:v>31.4539735522616</c:v>
                </c:pt>
                <c:pt idx="167">
                  <c:v>31.3033671451368</c:v>
                </c:pt>
                <c:pt idx="168">
                  <c:v>31.1531707126216</c:v>
                </c:pt>
                <c:pt idx="169">
                  <c:v>31.0033917622752</c:v>
                </c:pt>
                <c:pt idx="170">
                  <c:v>30.8540375623169</c:v>
                </c:pt>
                <c:pt idx="171">
                  <c:v>30.7051151464769</c:v>
                </c:pt>
                <c:pt idx="172">
                  <c:v>30.5566313187692</c:v>
                </c:pt>
                <c:pt idx="173">
                  <c:v>30.4085926581877</c:v>
                </c:pt>
                <c:pt idx="174">
                  <c:v>30.2610055233254</c:v>
                </c:pt>
                <c:pt idx="175">
                  <c:v>30.1138760569179</c:v>
                </c:pt>
                <c:pt idx="176">
                  <c:v>29.9672101903127</c:v>
                </c:pt>
                <c:pt idx="177">
                  <c:v>29.8210136478631</c:v>
                </c:pt>
                <c:pt idx="178">
                  <c:v>29.6752919512498</c:v>
                </c:pt>
                <c:pt idx="179">
                  <c:v>29.5300504237296</c:v>
                </c:pt>
                <c:pt idx="180">
                  <c:v>29.3852941943125</c:v>
                </c:pt>
                <c:pt idx="181">
                  <c:v>29.2410282018674</c:v>
                </c:pt>
                <c:pt idx="182">
                  <c:v>29.0972571991585</c:v>
                </c:pt>
                <c:pt idx="183">
                  <c:v>28.9539857568123</c:v>
                </c:pt>
                <c:pt idx="184">
                  <c:v>28.8112182672153</c:v>
                </c:pt>
                <c:pt idx="185">
                  <c:v>28.6689589483456</c:v>
                </c:pt>
                <c:pt idx="186">
                  <c:v>28.5272118475366</c:v>
                </c:pt>
                <c:pt idx="187">
                  <c:v>28.3859808451755</c:v>
                </c:pt>
                <c:pt idx="188">
                  <c:v>28.2452696583364</c:v>
                </c:pt>
                <c:pt idx="189">
                  <c:v>28.1050818443498</c:v>
                </c:pt>
                <c:pt idx="190">
                  <c:v>27.965420804308</c:v>
                </c:pt>
                <c:pt idx="191">
                  <c:v>27.8262897865085</c:v>
                </c:pt>
                <c:pt idx="192">
                  <c:v>27.687691889836</c:v>
                </c:pt>
                <c:pt idx="193">
                  <c:v>27.5496300670833</c:v>
                </c:pt>
                <c:pt idx="194">
                  <c:v>27.4121071282118</c:v>
                </c:pt>
                <c:pt idx="195">
                  <c:v>27.2751257435543</c:v>
                </c:pt>
                <c:pt idx="196">
                  <c:v>27.138688446958</c:v>
                </c:pt>
                <c:pt idx="197">
                  <c:v>27.0027976388709</c:v>
                </c:pt>
                <c:pt idx="198">
                  <c:v>26.8674555893716</c:v>
                </c:pt>
                <c:pt idx="199">
                  <c:v>26.7326644411434</c:v>
                </c:pt>
                <c:pt idx="200">
                  <c:v>26.5984262123927</c:v>
                </c:pt>
                <c:pt idx="201">
                  <c:v>26.4647427997144</c:v>
                </c:pt>
                <c:pt idx="202">
                  <c:v>26.3316159809031</c:v>
                </c:pt>
                <c:pt idx="203">
                  <c:v>26.199047417712</c:v>
                </c:pt>
                <c:pt idx="204">
                  <c:v>26.0670386585608</c:v>
                </c:pt>
                <c:pt idx="205">
                  <c:v>25.9355911411912</c:v>
                </c:pt>
                <c:pt idx="206">
                  <c:v>25.8047061952739</c:v>
                </c:pt>
                <c:pt idx="207">
                  <c:v>25.6743850449648</c:v>
                </c:pt>
                <c:pt idx="208">
                  <c:v>25.544628811414</c:v>
                </c:pt>
                <c:pt idx="209">
                  <c:v>25.4154385152256</c:v>
                </c:pt>
                <c:pt idx="210">
                  <c:v>25.2868150788715</c:v>
                </c:pt>
                <c:pt idx="211">
                  <c:v>25.1587593290584</c:v>
                </c:pt>
                <c:pt idx="212">
                  <c:v>25.0312719990493</c:v>
                </c:pt>
                <c:pt idx="213">
                  <c:v>24.9043537309402</c:v>
                </c:pt>
                <c:pt idx="214">
                  <c:v>24.7780050778926</c:v>
                </c:pt>
                <c:pt idx="215">
                  <c:v>24.6522265063232</c:v>
                </c:pt>
                <c:pt idx="216">
                  <c:v>24.5270183980495</c:v>
                </c:pt>
                <c:pt idx="217">
                  <c:v>24.4023810523955</c:v>
                </c:pt>
                <c:pt idx="218">
                  <c:v>24.278314688254</c:v>
                </c:pt>
                <c:pt idx="219">
                  <c:v>24.1548194461103</c:v>
                </c:pt>
                <c:pt idx="220">
                  <c:v>24.031895390024</c:v>
                </c:pt>
                <c:pt idx="221">
                  <c:v>23.9095425095737</c:v>
                </c:pt>
                <c:pt idx="222">
                  <c:v>23.787760721761</c:v>
                </c:pt>
                <c:pt idx="223">
                  <c:v>23.6665498728785</c:v>
                </c:pt>
                <c:pt idx="224">
                  <c:v>23.5459097403392</c:v>
                </c:pt>
                <c:pt idx="225">
                  <c:v>23.42584003447</c:v>
                </c:pt>
                <c:pt idx="226">
                  <c:v>23.3063404002688</c:v>
                </c:pt>
                <c:pt idx="227">
                  <c:v>23.1874104191266</c:v>
                </c:pt>
                <c:pt idx="228">
                  <c:v>23.0690496105145</c:v>
                </c:pt>
                <c:pt idx="229">
                  <c:v>22.9512574336368</c:v>
                </c:pt>
                <c:pt idx="230">
                  <c:v>22.8340332890506</c:v>
                </c:pt>
                <c:pt idx="231">
                  <c:v>22.717376520252</c:v>
                </c:pt>
                <c:pt idx="232">
                  <c:v>22.6012864152305</c:v>
                </c:pt>
                <c:pt idx="233">
                  <c:v>22.4857622079914</c:v>
                </c:pt>
                <c:pt idx="234">
                  <c:v>22.3708030800465</c:v>
                </c:pt>
                <c:pt idx="235">
                  <c:v>22.256408161875</c:v>
                </c:pt>
                <c:pt idx="236">
                  <c:v>22.1425765343536</c:v>
                </c:pt>
                <c:pt idx="237">
                  <c:v>22.029307230157</c:v>
                </c:pt>
                <c:pt idx="238">
                  <c:v>21.9165992351298</c:v>
                </c:pt>
                <c:pt idx="239">
                  <c:v>21.8044514896296</c:v>
                </c:pt>
                <c:pt idx="240">
                  <c:v>21.6928628898418</c:v>
                </c:pt>
                <c:pt idx="241">
                  <c:v>21.5818322890678</c:v>
                </c:pt>
                <c:pt idx="242">
                  <c:v>21.4713584989848</c:v>
                </c:pt>
                <c:pt idx="243">
                  <c:v>21.3614402908805</c:v>
                </c:pt>
                <c:pt idx="244">
                  <c:v>21.2520763968607</c:v>
                </c:pt>
                <c:pt idx="245">
                  <c:v>21.1432655110323</c:v>
                </c:pt>
                <c:pt idx="246">
                  <c:v>21.0350062906601</c:v>
                </c:pt>
                <c:pt idx="247">
                  <c:v>20.9272973572972</c:v>
                </c:pt>
                <c:pt idx="248">
                  <c:v>20.8201333656716</c:v>
                </c:pt>
                <c:pt idx="249">
                  <c:v>20.6934030107188</c:v>
                </c:pt>
                <c:pt idx="250">
                  <c:v>20.2143497856457</c:v>
                </c:pt>
                <c:pt idx="251">
                  <c:v>20.4714624485576</c:v>
                </c:pt>
                <c:pt idx="252">
                  <c:v>20.3942798469491</c:v>
                </c:pt>
                <c:pt idx="253">
                  <c:v>19.9615384706007</c:v>
                </c:pt>
                <c:pt idx="254">
                  <c:v>20.0269908369138</c:v>
                </c:pt>
                <c:pt idx="255">
                  <c:v>20.0849548290204</c:v>
                </c:pt>
                <c:pt idx="256">
                  <c:v>19.9821014144555</c:v>
                </c:pt>
                <c:pt idx="257">
                  <c:v>19.68944130592</c:v>
                </c:pt>
                <c:pt idx="258">
                  <c:v>19.3590230552907</c:v>
                </c:pt>
                <c:pt idx="259">
                  <c:v>19.6735146890334</c:v>
                </c:pt>
                <c:pt idx="260">
                  <c:v>19.5764716138736</c:v>
                </c:pt>
                <c:pt idx="261">
                  <c:v>19.4763040650608</c:v>
                </c:pt>
                <c:pt idx="262">
                  <c:v>19.3674786593388</c:v>
                </c:pt>
                <c:pt idx="263">
                  <c:v>18.6627237247276</c:v>
                </c:pt>
                <c:pt idx="264">
                  <c:v>19.013221079366</c:v>
                </c:pt>
                <c:pt idx="265">
                  <c:v>19.0807071835868</c:v>
                </c:pt>
                <c:pt idx="266">
                  <c:v>18.9833226313489</c:v>
                </c:pt>
                <c:pt idx="267">
                  <c:v>18.8862840364525</c:v>
                </c:pt>
                <c:pt idx="268">
                  <c:v>18.7897602994166</c:v>
                </c:pt>
                <c:pt idx="269">
                  <c:v>18.6936907181104</c:v>
                </c:pt>
                <c:pt idx="270">
                  <c:v>18.4804299377245</c:v>
                </c:pt>
                <c:pt idx="271">
                  <c:v>17.614690614022</c:v>
                </c:pt>
                <c:pt idx="272">
                  <c:v>18.3810710203645</c:v>
                </c:pt>
                <c:pt idx="273">
                  <c:v>18.3147934749815</c:v>
                </c:pt>
                <c:pt idx="274">
                  <c:v>18.2213212391844</c:v>
                </c:pt>
                <c:pt idx="275">
                  <c:v>18.1283468796536</c:v>
                </c:pt>
                <c:pt idx="276">
                  <c:v>18.0358716065657</c:v>
                </c:pt>
                <c:pt idx="277">
                  <c:v>17.9438933919509</c:v>
                </c:pt>
                <c:pt idx="278">
                  <c:v>17.8524101972519</c:v>
                </c:pt>
                <c:pt idx="279">
                  <c:v>17.761419961854</c:v>
                </c:pt>
                <c:pt idx="280">
                  <c:v>17.6696841532482</c:v>
                </c:pt>
                <c:pt idx="281">
                  <c:v>17.0992676630529</c:v>
                </c:pt>
                <c:pt idx="282">
                  <c:v>16.7592555205502</c:v>
                </c:pt>
                <c:pt idx="283">
                  <c:v>17.3978558558268</c:v>
                </c:pt>
                <c:pt idx="284">
                  <c:v>17.3137909869683</c:v>
                </c:pt>
                <c:pt idx="285">
                  <c:v>17.2257151783747</c:v>
                </c:pt>
                <c:pt idx="286">
                  <c:v>17.1381176602737</c:v>
                </c:pt>
                <c:pt idx="287">
                  <c:v>17.0509964253006</c:v>
                </c:pt>
                <c:pt idx="288">
                  <c:v>16.9643493572343</c:v>
                </c:pt>
                <c:pt idx="289">
                  <c:v>16.8781743346463</c:v>
                </c:pt>
                <c:pt idx="290">
                  <c:v>16.7924692313214</c:v>
                </c:pt>
                <c:pt idx="291">
                  <c:v>16.7072319166688</c:v>
                </c:pt>
                <c:pt idx="292">
                  <c:v>16.6224602561219</c:v>
                </c:pt>
                <c:pt idx="293">
                  <c:v>16.5381521115297</c:v>
                </c:pt>
                <c:pt idx="294">
                  <c:v>16.4543053415369</c:v>
                </c:pt>
                <c:pt idx="295">
                  <c:v>16.3709176801625</c:v>
                </c:pt>
                <c:pt idx="296">
                  <c:v>16.2824831002872</c:v>
                </c:pt>
                <c:pt idx="297">
                  <c:v>15.2852117814477</c:v>
                </c:pt>
                <c:pt idx="298">
                  <c:v>15.4928485494611</c:v>
                </c:pt>
                <c:pt idx="299">
                  <c:v>16.0402192846976</c:v>
                </c:pt>
                <c:pt idx="300">
                  <c:v>15.9607933430436</c:v>
                </c:pt>
                <c:pt idx="301">
                  <c:v>15.8801160609586</c:v>
                </c:pt>
                <c:pt idx="302">
                  <c:v>15.7998829327821</c:v>
                </c:pt>
                <c:pt idx="303">
                  <c:v>15.7200918210927</c:v>
                </c:pt>
                <c:pt idx="304">
                  <c:v>15.6407405714363</c:v>
                </c:pt>
                <c:pt idx="305">
                  <c:v>15.5618270297558</c:v>
                </c:pt>
                <c:pt idx="306">
                  <c:v>15.4833490426699</c:v>
                </c:pt>
                <c:pt idx="307">
                  <c:v>15.4053044577437</c:v>
                </c:pt>
                <c:pt idx="308">
                  <c:v>15.3276911237535</c:v>
                </c:pt>
                <c:pt idx="309">
                  <c:v>15.2505068909428</c:v>
                </c:pt>
                <c:pt idx="310">
                  <c:v>15.1737496112724</c:v>
                </c:pt>
                <c:pt idx="311">
                  <c:v>15.0974171386636</c:v>
                </c:pt>
                <c:pt idx="312">
                  <c:v>15.0215073292344</c:v>
                </c:pt>
                <c:pt idx="313">
                  <c:v>14.9460180415293</c:v>
                </c:pt>
                <c:pt idx="314">
                  <c:v>14.8709471367429</c:v>
                </c:pt>
                <c:pt idx="315">
                  <c:v>14.7962924789372</c:v>
                </c:pt>
                <c:pt idx="316">
                  <c:v>14.7220519352524</c:v>
                </c:pt>
                <c:pt idx="317">
                  <c:v>14.6482233761121</c:v>
                </c:pt>
                <c:pt idx="318">
                  <c:v>14.5748046754229</c:v>
                </c:pt>
                <c:pt idx="319">
                  <c:v>14.5017937107676</c:v>
                </c:pt>
                <c:pt idx="320">
                  <c:v>14.4291883504461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"B(T_base)"</c:f>
              <c:strCache>
                <c:ptCount val="1"/>
                <c:pt idx="0">
                  <c:v>B(T_base)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'RT3 Slab &amp; MIT star'!$H$26:$H$346</c:f>
              <c:numCache>
                <c:formatCode>0</c:formatCode>
                <c:ptCount val="321"/>
                <c:pt idx="0">
                  <c:v>360</c:v>
                </c:pt>
                <c:pt idx="1">
                  <c:v>362</c:v>
                </c:pt>
                <c:pt idx="2">
                  <c:v>364</c:v>
                </c:pt>
                <c:pt idx="3">
                  <c:v>366</c:v>
                </c:pt>
                <c:pt idx="4">
                  <c:v>368</c:v>
                </c:pt>
                <c:pt idx="5">
                  <c:v>370</c:v>
                </c:pt>
                <c:pt idx="6">
                  <c:v>372</c:v>
                </c:pt>
                <c:pt idx="7">
                  <c:v>374</c:v>
                </c:pt>
                <c:pt idx="8">
                  <c:v>376</c:v>
                </c:pt>
                <c:pt idx="9">
                  <c:v>378</c:v>
                </c:pt>
                <c:pt idx="10">
                  <c:v>380</c:v>
                </c:pt>
                <c:pt idx="11">
                  <c:v>382</c:v>
                </c:pt>
                <c:pt idx="12">
                  <c:v>384</c:v>
                </c:pt>
                <c:pt idx="13">
                  <c:v>386</c:v>
                </c:pt>
                <c:pt idx="14">
                  <c:v>388</c:v>
                </c:pt>
                <c:pt idx="15">
                  <c:v>390</c:v>
                </c:pt>
                <c:pt idx="16">
                  <c:v>392</c:v>
                </c:pt>
                <c:pt idx="17">
                  <c:v>394</c:v>
                </c:pt>
                <c:pt idx="18">
                  <c:v>396</c:v>
                </c:pt>
                <c:pt idx="19">
                  <c:v>398</c:v>
                </c:pt>
                <c:pt idx="20">
                  <c:v>400</c:v>
                </c:pt>
                <c:pt idx="21">
                  <c:v>402</c:v>
                </c:pt>
                <c:pt idx="22">
                  <c:v>404</c:v>
                </c:pt>
                <c:pt idx="23">
                  <c:v>406</c:v>
                </c:pt>
                <c:pt idx="24">
                  <c:v>408</c:v>
                </c:pt>
                <c:pt idx="25">
                  <c:v>410</c:v>
                </c:pt>
                <c:pt idx="26">
                  <c:v>412</c:v>
                </c:pt>
                <c:pt idx="27">
                  <c:v>414</c:v>
                </c:pt>
                <c:pt idx="28">
                  <c:v>416</c:v>
                </c:pt>
                <c:pt idx="29">
                  <c:v>418</c:v>
                </c:pt>
                <c:pt idx="30">
                  <c:v>420</c:v>
                </c:pt>
                <c:pt idx="31">
                  <c:v>422</c:v>
                </c:pt>
                <c:pt idx="32">
                  <c:v>424</c:v>
                </c:pt>
                <c:pt idx="33">
                  <c:v>426</c:v>
                </c:pt>
                <c:pt idx="34">
                  <c:v>428</c:v>
                </c:pt>
                <c:pt idx="35">
                  <c:v>430</c:v>
                </c:pt>
                <c:pt idx="36">
                  <c:v>432</c:v>
                </c:pt>
                <c:pt idx="37">
                  <c:v>434</c:v>
                </c:pt>
                <c:pt idx="38">
                  <c:v>436</c:v>
                </c:pt>
                <c:pt idx="39">
                  <c:v>438</c:v>
                </c:pt>
                <c:pt idx="40">
                  <c:v>440</c:v>
                </c:pt>
                <c:pt idx="41">
                  <c:v>442</c:v>
                </c:pt>
                <c:pt idx="42">
                  <c:v>444</c:v>
                </c:pt>
                <c:pt idx="43">
                  <c:v>446</c:v>
                </c:pt>
                <c:pt idx="44">
                  <c:v>448</c:v>
                </c:pt>
                <c:pt idx="45">
                  <c:v>450</c:v>
                </c:pt>
                <c:pt idx="46">
                  <c:v>452</c:v>
                </c:pt>
                <c:pt idx="47">
                  <c:v>454</c:v>
                </c:pt>
                <c:pt idx="48">
                  <c:v>456</c:v>
                </c:pt>
                <c:pt idx="49">
                  <c:v>458</c:v>
                </c:pt>
                <c:pt idx="50">
                  <c:v>460</c:v>
                </c:pt>
                <c:pt idx="51">
                  <c:v>462</c:v>
                </c:pt>
                <c:pt idx="52">
                  <c:v>464</c:v>
                </c:pt>
                <c:pt idx="53">
                  <c:v>466</c:v>
                </c:pt>
                <c:pt idx="54">
                  <c:v>468</c:v>
                </c:pt>
                <c:pt idx="55">
                  <c:v>470</c:v>
                </c:pt>
                <c:pt idx="56">
                  <c:v>472</c:v>
                </c:pt>
                <c:pt idx="57">
                  <c:v>474</c:v>
                </c:pt>
                <c:pt idx="58">
                  <c:v>476</c:v>
                </c:pt>
                <c:pt idx="59">
                  <c:v>478</c:v>
                </c:pt>
                <c:pt idx="60">
                  <c:v>480</c:v>
                </c:pt>
                <c:pt idx="61">
                  <c:v>482</c:v>
                </c:pt>
                <c:pt idx="62">
                  <c:v>484</c:v>
                </c:pt>
                <c:pt idx="63">
                  <c:v>486</c:v>
                </c:pt>
                <c:pt idx="64">
                  <c:v>488</c:v>
                </c:pt>
                <c:pt idx="65">
                  <c:v>490</c:v>
                </c:pt>
                <c:pt idx="66">
                  <c:v>492</c:v>
                </c:pt>
                <c:pt idx="67">
                  <c:v>494</c:v>
                </c:pt>
                <c:pt idx="68">
                  <c:v>496</c:v>
                </c:pt>
                <c:pt idx="69">
                  <c:v>498</c:v>
                </c:pt>
                <c:pt idx="70">
                  <c:v>500</c:v>
                </c:pt>
                <c:pt idx="71">
                  <c:v>502</c:v>
                </c:pt>
                <c:pt idx="72">
                  <c:v>504</c:v>
                </c:pt>
                <c:pt idx="73">
                  <c:v>506</c:v>
                </c:pt>
                <c:pt idx="74">
                  <c:v>508</c:v>
                </c:pt>
                <c:pt idx="75">
                  <c:v>510</c:v>
                </c:pt>
                <c:pt idx="76">
                  <c:v>512</c:v>
                </c:pt>
                <c:pt idx="77">
                  <c:v>514</c:v>
                </c:pt>
                <c:pt idx="78">
                  <c:v>516</c:v>
                </c:pt>
                <c:pt idx="79">
                  <c:v>518</c:v>
                </c:pt>
                <c:pt idx="80">
                  <c:v>520</c:v>
                </c:pt>
                <c:pt idx="81">
                  <c:v>522</c:v>
                </c:pt>
                <c:pt idx="82">
                  <c:v>524</c:v>
                </c:pt>
                <c:pt idx="83">
                  <c:v>526</c:v>
                </c:pt>
                <c:pt idx="84">
                  <c:v>528</c:v>
                </c:pt>
                <c:pt idx="85">
                  <c:v>530</c:v>
                </c:pt>
                <c:pt idx="86">
                  <c:v>532</c:v>
                </c:pt>
                <c:pt idx="87">
                  <c:v>534</c:v>
                </c:pt>
                <c:pt idx="88">
                  <c:v>536</c:v>
                </c:pt>
                <c:pt idx="89">
                  <c:v>538</c:v>
                </c:pt>
                <c:pt idx="90">
                  <c:v>540</c:v>
                </c:pt>
                <c:pt idx="91">
                  <c:v>542</c:v>
                </c:pt>
                <c:pt idx="92">
                  <c:v>544</c:v>
                </c:pt>
                <c:pt idx="93">
                  <c:v>546</c:v>
                </c:pt>
                <c:pt idx="94">
                  <c:v>548</c:v>
                </c:pt>
                <c:pt idx="95">
                  <c:v>550</c:v>
                </c:pt>
                <c:pt idx="96">
                  <c:v>552</c:v>
                </c:pt>
                <c:pt idx="97">
                  <c:v>554</c:v>
                </c:pt>
                <c:pt idx="98">
                  <c:v>556</c:v>
                </c:pt>
                <c:pt idx="99">
                  <c:v>558</c:v>
                </c:pt>
                <c:pt idx="100">
                  <c:v>560</c:v>
                </c:pt>
                <c:pt idx="101">
                  <c:v>562</c:v>
                </c:pt>
                <c:pt idx="102">
                  <c:v>564</c:v>
                </c:pt>
                <c:pt idx="103">
                  <c:v>566</c:v>
                </c:pt>
                <c:pt idx="104">
                  <c:v>568</c:v>
                </c:pt>
                <c:pt idx="105">
                  <c:v>570</c:v>
                </c:pt>
                <c:pt idx="106">
                  <c:v>572</c:v>
                </c:pt>
                <c:pt idx="107">
                  <c:v>574</c:v>
                </c:pt>
                <c:pt idx="108">
                  <c:v>576</c:v>
                </c:pt>
                <c:pt idx="109">
                  <c:v>578</c:v>
                </c:pt>
                <c:pt idx="110">
                  <c:v>580</c:v>
                </c:pt>
                <c:pt idx="111">
                  <c:v>582</c:v>
                </c:pt>
                <c:pt idx="112">
                  <c:v>584</c:v>
                </c:pt>
                <c:pt idx="113">
                  <c:v>586</c:v>
                </c:pt>
                <c:pt idx="114">
                  <c:v>588</c:v>
                </c:pt>
                <c:pt idx="115">
                  <c:v>590</c:v>
                </c:pt>
                <c:pt idx="116">
                  <c:v>592</c:v>
                </c:pt>
                <c:pt idx="117">
                  <c:v>594</c:v>
                </c:pt>
                <c:pt idx="118">
                  <c:v>596</c:v>
                </c:pt>
                <c:pt idx="119">
                  <c:v>598</c:v>
                </c:pt>
                <c:pt idx="120">
                  <c:v>600</c:v>
                </c:pt>
                <c:pt idx="121">
                  <c:v>602</c:v>
                </c:pt>
                <c:pt idx="122">
                  <c:v>604</c:v>
                </c:pt>
                <c:pt idx="123">
                  <c:v>606</c:v>
                </c:pt>
                <c:pt idx="124">
                  <c:v>608</c:v>
                </c:pt>
                <c:pt idx="125">
                  <c:v>610</c:v>
                </c:pt>
                <c:pt idx="126">
                  <c:v>612</c:v>
                </c:pt>
                <c:pt idx="127">
                  <c:v>614</c:v>
                </c:pt>
                <c:pt idx="128">
                  <c:v>616</c:v>
                </c:pt>
                <c:pt idx="129">
                  <c:v>618</c:v>
                </c:pt>
                <c:pt idx="130">
                  <c:v>620</c:v>
                </c:pt>
                <c:pt idx="131">
                  <c:v>622</c:v>
                </c:pt>
                <c:pt idx="132">
                  <c:v>624</c:v>
                </c:pt>
                <c:pt idx="133">
                  <c:v>626</c:v>
                </c:pt>
                <c:pt idx="134">
                  <c:v>628</c:v>
                </c:pt>
                <c:pt idx="135">
                  <c:v>630</c:v>
                </c:pt>
                <c:pt idx="136">
                  <c:v>632</c:v>
                </c:pt>
                <c:pt idx="137">
                  <c:v>634</c:v>
                </c:pt>
                <c:pt idx="138">
                  <c:v>636</c:v>
                </c:pt>
                <c:pt idx="139">
                  <c:v>638</c:v>
                </c:pt>
                <c:pt idx="140">
                  <c:v>640</c:v>
                </c:pt>
                <c:pt idx="141">
                  <c:v>642</c:v>
                </c:pt>
                <c:pt idx="142">
                  <c:v>644</c:v>
                </c:pt>
                <c:pt idx="143">
                  <c:v>646</c:v>
                </c:pt>
                <c:pt idx="144">
                  <c:v>648</c:v>
                </c:pt>
                <c:pt idx="145">
                  <c:v>650</c:v>
                </c:pt>
                <c:pt idx="146">
                  <c:v>652</c:v>
                </c:pt>
                <c:pt idx="147">
                  <c:v>654</c:v>
                </c:pt>
                <c:pt idx="148">
                  <c:v>656</c:v>
                </c:pt>
                <c:pt idx="149">
                  <c:v>658</c:v>
                </c:pt>
                <c:pt idx="150">
                  <c:v>660</c:v>
                </c:pt>
                <c:pt idx="151">
                  <c:v>662</c:v>
                </c:pt>
                <c:pt idx="152">
                  <c:v>664</c:v>
                </c:pt>
                <c:pt idx="153">
                  <c:v>666</c:v>
                </c:pt>
                <c:pt idx="154">
                  <c:v>668</c:v>
                </c:pt>
                <c:pt idx="155">
                  <c:v>670</c:v>
                </c:pt>
                <c:pt idx="156">
                  <c:v>672</c:v>
                </c:pt>
                <c:pt idx="157">
                  <c:v>674</c:v>
                </c:pt>
                <c:pt idx="158">
                  <c:v>676</c:v>
                </c:pt>
                <c:pt idx="159">
                  <c:v>678</c:v>
                </c:pt>
                <c:pt idx="160">
                  <c:v>680</c:v>
                </c:pt>
                <c:pt idx="161">
                  <c:v>682</c:v>
                </c:pt>
                <c:pt idx="162">
                  <c:v>684</c:v>
                </c:pt>
                <c:pt idx="163">
                  <c:v>686</c:v>
                </c:pt>
                <c:pt idx="164">
                  <c:v>688</c:v>
                </c:pt>
                <c:pt idx="165">
                  <c:v>690</c:v>
                </c:pt>
                <c:pt idx="166">
                  <c:v>692</c:v>
                </c:pt>
                <c:pt idx="167">
                  <c:v>694</c:v>
                </c:pt>
                <c:pt idx="168">
                  <c:v>696</c:v>
                </c:pt>
                <c:pt idx="169">
                  <c:v>698</c:v>
                </c:pt>
                <c:pt idx="170">
                  <c:v>700</c:v>
                </c:pt>
                <c:pt idx="171">
                  <c:v>702</c:v>
                </c:pt>
                <c:pt idx="172">
                  <c:v>704</c:v>
                </c:pt>
                <c:pt idx="173">
                  <c:v>706</c:v>
                </c:pt>
                <c:pt idx="174">
                  <c:v>708</c:v>
                </c:pt>
                <c:pt idx="175">
                  <c:v>710</c:v>
                </c:pt>
                <c:pt idx="176">
                  <c:v>712</c:v>
                </c:pt>
                <c:pt idx="177">
                  <c:v>714</c:v>
                </c:pt>
                <c:pt idx="178">
                  <c:v>716</c:v>
                </c:pt>
                <c:pt idx="179">
                  <c:v>718</c:v>
                </c:pt>
                <c:pt idx="180">
                  <c:v>720</c:v>
                </c:pt>
                <c:pt idx="181">
                  <c:v>722</c:v>
                </c:pt>
                <c:pt idx="182">
                  <c:v>724</c:v>
                </c:pt>
                <c:pt idx="183">
                  <c:v>726</c:v>
                </c:pt>
                <c:pt idx="184">
                  <c:v>728</c:v>
                </c:pt>
                <c:pt idx="185">
                  <c:v>730</c:v>
                </c:pt>
                <c:pt idx="186">
                  <c:v>732</c:v>
                </c:pt>
                <c:pt idx="187">
                  <c:v>734</c:v>
                </c:pt>
                <c:pt idx="188">
                  <c:v>736</c:v>
                </c:pt>
                <c:pt idx="189">
                  <c:v>738</c:v>
                </c:pt>
                <c:pt idx="190">
                  <c:v>740</c:v>
                </c:pt>
                <c:pt idx="191">
                  <c:v>742</c:v>
                </c:pt>
                <c:pt idx="192">
                  <c:v>744</c:v>
                </c:pt>
                <c:pt idx="193">
                  <c:v>746</c:v>
                </c:pt>
                <c:pt idx="194">
                  <c:v>748</c:v>
                </c:pt>
                <c:pt idx="195">
                  <c:v>750</c:v>
                </c:pt>
                <c:pt idx="196">
                  <c:v>752</c:v>
                </c:pt>
                <c:pt idx="197">
                  <c:v>754</c:v>
                </c:pt>
                <c:pt idx="198">
                  <c:v>756</c:v>
                </c:pt>
                <c:pt idx="199">
                  <c:v>758</c:v>
                </c:pt>
                <c:pt idx="200">
                  <c:v>760</c:v>
                </c:pt>
                <c:pt idx="201">
                  <c:v>762</c:v>
                </c:pt>
                <c:pt idx="202">
                  <c:v>764</c:v>
                </c:pt>
                <c:pt idx="203">
                  <c:v>766</c:v>
                </c:pt>
                <c:pt idx="204">
                  <c:v>768</c:v>
                </c:pt>
                <c:pt idx="205">
                  <c:v>770</c:v>
                </c:pt>
                <c:pt idx="206">
                  <c:v>772</c:v>
                </c:pt>
                <c:pt idx="207">
                  <c:v>774</c:v>
                </c:pt>
                <c:pt idx="208">
                  <c:v>776</c:v>
                </c:pt>
                <c:pt idx="209">
                  <c:v>778</c:v>
                </c:pt>
                <c:pt idx="210">
                  <c:v>780</c:v>
                </c:pt>
                <c:pt idx="211">
                  <c:v>782</c:v>
                </c:pt>
                <c:pt idx="212">
                  <c:v>784</c:v>
                </c:pt>
                <c:pt idx="213">
                  <c:v>786</c:v>
                </c:pt>
                <c:pt idx="214">
                  <c:v>788</c:v>
                </c:pt>
                <c:pt idx="215">
                  <c:v>790</c:v>
                </c:pt>
                <c:pt idx="216">
                  <c:v>792</c:v>
                </c:pt>
                <c:pt idx="217">
                  <c:v>794</c:v>
                </c:pt>
                <c:pt idx="218">
                  <c:v>796</c:v>
                </c:pt>
                <c:pt idx="219">
                  <c:v>798</c:v>
                </c:pt>
                <c:pt idx="220">
                  <c:v>800</c:v>
                </c:pt>
                <c:pt idx="221">
                  <c:v>802</c:v>
                </c:pt>
                <c:pt idx="222">
                  <c:v>804</c:v>
                </c:pt>
                <c:pt idx="223">
                  <c:v>806</c:v>
                </c:pt>
                <c:pt idx="224">
                  <c:v>808</c:v>
                </c:pt>
                <c:pt idx="225">
                  <c:v>810</c:v>
                </c:pt>
                <c:pt idx="226">
                  <c:v>812</c:v>
                </c:pt>
                <c:pt idx="227">
                  <c:v>814</c:v>
                </c:pt>
                <c:pt idx="228">
                  <c:v>816</c:v>
                </c:pt>
                <c:pt idx="229">
                  <c:v>818</c:v>
                </c:pt>
                <c:pt idx="230">
                  <c:v>820</c:v>
                </c:pt>
                <c:pt idx="231">
                  <c:v>822</c:v>
                </c:pt>
                <c:pt idx="232">
                  <c:v>824</c:v>
                </c:pt>
                <c:pt idx="233">
                  <c:v>826</c:v>
                </c:pt>
                <c:pt idx="234">
                  <c:v>828</c:v>
                </c:pt>
                <c:pt idx="235">
                  <c:v>830</c:v>
                </c:pt>
                <c:pt idx="236">
                  <c:v>832</c:v>
                </c:pt>
                <c:pt idx="237">
                  <c:v>834</c:v>
                </c:pt>
                <c:pt idx="238">
                  <c:v>836</c:v>
                </c:pt>
                <c:pt idx="239">
                  <c:v>838</c:v>
                </c:pt>
                <c:pt idx="240">
                  <c:v>840</c:v>
                </c:pt>
                <c:pt idx="241">
                  <c:v>842</c:v>
                </c:pt>
                <c:pt idx="242">
                  <c:v>844</c:v>
                </c:pt>
                <c:pt idx="243">
                  <c:v>846</c:v>
                </c:pt>
                <c:pt idx="244">
                  <c:v>848</c:v>
                </c:pt>
                <c:pt idx="245">
                  <c:v>850</c:v>
                </c:pt>
                <c:pt idx="246">
                  <c:v>852</c:v>
                </c:pt>
                <c:pt idx="247">
                  <c:v>854</c:v>
                </c:pt>
                <c:pt idx="248">
                  <c:v>856</c:v>
                </c:pt>
                <c:pt idx="249">
                  <c:v>858</c:v>
                </c:pt>
                <c:pt idx="250">
                  <c:v>860</c:v>
                </c:pt>
                <c:pt idx="251">
                  <c:v>862</c:v>
                </c:pt>
                <c:pt idx="252">
                  <c:v>864</c:v>
                </c:pt>
                <c:pt idx="253">
                  <c:v>866</c:v>
                </c:pt>
                <c:pt idx="254">
                  <c:v>868</c:v>
                </c:pt>
                <c:pt idx="255">
                  <c:v>870</c:v>
                </c:pt>
                <c:pt idx="256">
                  <c:v>872</c:v>
                </c:pt>
                <c:pt idx="257">
                  <c:v>874</c:v>
                </c:pt>
                <c:pt idx="258">
                  <c:v>876</c:v>
                </c:pt>
                <c:pt idx="259">
                  <c:v>878</c:v>
                </c:pt>
                <c:pt idx="260">
                  <c:v>880</c:v>
                </c:pt>
                <c:pt idx="261">
                  <c:v>882</c:v>
                </c:pt>
                <c:pt idx="262">
                  <c:v>884</c:v>
                </c:pt>
                <c:pt idx="263">
                  <c:v>886</c:v>
                </c:pt>
                <c:pt idx="264">
                  <c:v>888</c:v>
                </c:pt>
                <c:pt idx="265">
                  <c:v>890</c:v>
                </c:pt>
                <c:pt idx="266">
                  <c:v>892</c:v>
                </c:pt>
                <c:pt idx="267">
                  <c:v>894</c:v>
                </c:pt>
                <c:pt idx="268">
                  <c:v>896</c:v>
                </c:pt>
                <c:pt idx="269">
                  <c:v>898</c:v>
                </c:pt>
                <c:pt idx="270">
                  <c:v>900</c:v>
                </c:pt>
                <c:pt idx="271">
                  <c:v>902</c:v>
                </c:pt>
                <c:pt idx="272">
                  <c:v>904</c:v>
                </c:pt>
                <c:pt idx="273">
                  <c:v>906</c:v>
                </c:pt>
                <c:pt idx="274">
                  <c:v>908</c:v>
                </c:pt>
                <c:pt idx="275">
                  <c:v>910</c:v>
                </c:pt>
                <c:pt idx="276">
                  <c:v>912</c:v>
                </c:pt>
                <c:pt idx="277">
                  <c:v>914</c:v>
                </c:pt>
                <c:pt idx="278">
                  <c:v>916</c:v>
                </c:pt>
                <c:pt idx="279">
                  <c:v>918</c:v>
                </c:pt>
                <c:pt idx="280">
                  <c:v>920</c:v>
                </c:pt>
                <c:pt idx="281">
                  <c:v>922</c:v>
                </c:pt>
                <c:pt idx="282">
                  <c:v>924</c:v>
                </c:pt>
                <c:pt idx="283">
                  <c:v>926</c:v>
                </c:pt>
                <c:pt idx="284">
                  <c:v>928</c:v>
                </c:pt>
                <c:pt idx="285">
                  <c:v>930</c:v>
                </c:pt>
                <c:pt idx="286">
                  <c:v>932</c:v>
                </c:pt>
                <c:pt idx="287">
                  <c:v>934</c:v>
                </c:pt>
                <c:pt idx="288">
                  <c:v>936</c:v>
                </c:pt>
                <c:pt idx="289">
                  <c:v>938</c:v>
                </c:pt>
                <c:pt idx="290">
                  <c:v>940</c:v>
                </c:pt>
                <c:pt idx="291">
                  <c:v>942</c:v>
                </c:pt>
                <c:pt idx="292">
                  <c:v>944</c:v>
                </c:pt>
                <c:pt idx="293">
                  <c:v>946</c:v>
                </c:pt>
                <c:pt idx="294">
                  <c:v>948</c:v>
                </c:pt>
                <c:pt idx="295">
                  <c:v>950</c:v>
                </c:pt>
                <c:pt idx="296">
                  <c:v>952</c:v>
                </c:pt>
                <c:pt idx="297">
                  <c:v>954</c:v>
                </c:pt>
                <c:pt idx="298">
                  <c:v>956</c:v>
                </c:pt>
                <c:pt idx="299">
                  <c:v>958</c:v>
                </c:pt>
                <c:pt idx="300">
                  <c:v>960</c:v>
                </c:pt>
                <c:pt idx="301">
                  <c:v>962</c:v>
                </c:pt>
                <c:pt idx="302">
                  <c:v>964</c:v>
                </c:pt>
                <c:pt idx="303">
                  <c:v>966</c:v>
                </c:pt>
                <c:pt idx="304">
                  <c:v>968</c:v>
                </c:pt>
                <c:pt idx="305">
                  <c:v>970</c:v>
                </c:pt>
                <c:pt idx="306">
                  <c:v>972</c:v>
                </c:pt>
                <c:pt idx="307">
                  <c:v>974</c:v>
                </c:pt>
                <c:pt idx="308">
                  <c:v>976</c:v>
                </c:pt>
                <c:pt idx="309">
                  <c:v>978</c:v>
                </c:pt>
                <c:pt idx="310">
                  <c:v>980</c:v>
                </c:pt>
                <c:pt idx="311">
                  <c:v>982</c:v>
                </c:pt>
                <c:pt idx="312">
                  <c:v>984</c:v>
                </c:pt>
                <c:pt idx="313">
                  <c:v>986</c:v>
                </c:pt>
                <c:pt idx="314">
                  <c:v>988</c:v>
                </c:pt>
                <c:pt idx="315">
                  <c:v>990</c:v>
                </c:pt>
                <c:pt idx="316">
                  <c:v>992</c:v>
                </c:pt>
                <c:pt idx="317">
                  <c:v>994</c:v>
                </c:pt>
                <c:pt idx="318">
                  <c:v>996</c:v>
                </c:pt>
                <c:pt idx="319">
                  <c:v>998</c:v>
                </c:pt>
                <c:pt idx="320">
                  <c:v>1000</c:v>
                </c:pt>
              </c:numCache>
            </c:numRef>
          </c:xVal>
          <c:yVal>
            <c:numRef>
              <c:f>'RT3 Slab &amp; MIT star'!$K$26:$K$346</c:f>
              <c:numCache>
                <c:formatCode>0.00</c:formatCode>
                <c:ptCount val="321"/>
                <c:pt idx="0">
                  <c:v>42.172796267147</c:v>
                </c:pt>
                <c:pt idx="1">
                  <c:v>42.4411634431796</c:v>
                </c:pt>
                <c:pt idx="2">
                  <c:v>42.7018869168409</c:v>
                </c:pt>
                <c:pt idx="3">
                  <c:v>42.9549969034639</c:v>
                </c:pt>
                <c:pt idx="4">
                  <c:v>43.2005275856235</c:v>
                </c:pt>
                <c:pt idx="5">
                  <c:v>43.4385169311734</c:v>
                </c:pt>
                <c:pt idx="6">
                  <c:v>43.6690065150097</c:v>
                </c:pt>
                <c:pt idx="7">
                  <c:v>43.8920413446537</c:v>
                </c:pt>
                <c:pt idx="8">
                  <c:v>44.1076696897338</c:v>
                </c:pt>
                <c:pt idx="9">
                  <c:v>44.3159429154328</c:v>
                </c:pt>
                <c:pt idx="10">
                  <c:v>44.5169153199529</c:v>
                </c:pt>
                <c:pt idx="11">
                  <c:v>44.7106439760374</c:v>
                </c:pt>
                <c:pt idx="12">
                  <c:v>44.897188576581</c:v>
                </c:pt>
                <c:pt idx="13">
                  <c:v>45.0766112843439</c:v>
                </c:pt>
                <c:pt idx="14">
                  <c:v>45.248976585781</c:v>
                </c:pt>
                <c:pt idx="15">
                  <c:v>45.4143511489851</c:v>
                </c:pt>
                <c:pt idx="16">
                  <c:v>45.572803685734</c:v>
                </c:pt>
                <c:pt idx="17">
                  <c:v>45.7244048176279</c:v>
                </c:pt>
                <c:pt idx="18">
                  <c:v>45.8692269462913</c:v>
                </c:pt>
                <c:pt idx="19">
                  <c:v>46.0073441276101</c:v>
                </c:pt>
                <c:pt idx="20">
                  <c:v>46.138831949969</c:v>
                </c:pt>
                <c:pt idx="21">
                  <c:v>46.2637674164467</c:v>
                </c:pt>
                <c:pt idx="22">
                  <c:v>46.3822288309231</c:v>
                </c:pt>
                <c:pt idx="23">
                  <c:v>46.4942956880492</c:v>
                </c:pt>
                <c:pt idx="24">
                  <c:v>46.6000485670228</c:v>
                </c:pt>
                <c:pt idx="25">
                  <c:v>46.6995690291144</c:v>
                </c:pt>
                <c:pt idx="26">
                  <c:v>46.7929395188807</c:v>
                </c:pt>
                <c:pt idx="27">
                  <c:v>46.880243269002</c:v>
                </c:pt>
                <c:pt idx="28">
                  <c:v>46.9615642086772</c:v>
                </c:pt>
                <c:pt idx="29">
                  <c:v>47.0369868755084</c:v>
                </c:pt>
                <c:pt idx="30">
                  <c:v>47.1065963308041</c:v>
                </c:pt>
                <c:pt idx="31">
                  <c:v>47.1704780782288</c:v>
                </c:pt>
                <c:pt idx="32">
                  <c:v>47.2287179857279</c:v>
                </c:pt>
                <c:pt idx="33">
                  <c:v>47.2814022106514</c:v>
                </c:pt>
                <c:pt idx="34">
                  <c:v>47.3286171280038</c:v>
                </c:pt>
                <c:pt idx="35">
                  <c:v>47.3704492617428</c:v>
                </c:pt>
                <c:pt idx="36">
                  <c:v>47.4069852190531</c:v>
                </c:pt>
                <c:pt idx="37">
                  <c:v>47.4383116275175</c:v>
                </c:pt>
                <c:pt idx="38">
                  <c:v>47.4645150751111</c:v>
                </c:pt>
                <c:pt idx="39">
                  <c:v>47.4856820529414</c:v>
                </c:pt>
                <c:pt idx="40">
                  <c:v>47.5018989006601</c:v>
                </c:pt>
                <c:pt idx="41">
                  <c:v>47.51325175447</c:v>
                </c:pt>
                <c:pt idx="42">
                  <c:v>47.519826497655</c:v>
                </c:pt>
                <c:pt idx="43">
                  <c:v>47.5217087135556</c:v>
                </c:pt>
                <c:pt idx="44">
                  <c:v>47.518983640921</c:v>
                </c:pt>
                <c:pt idx="45">
                  <c:v>47.5117361315622</c:v>
                </c:pt>
                <c:pt idx="46">
                  <c:v>47.5000506102365</c:v>
                </c:pt>
                <c:pt idx="47">
                  <c:v>47.4840110366919</c:v>
                </c:pt>
                <c:pt idx="48">
                  <c:v>47.4637008698037</c:v>
                </c:pt>
                <c:pt idx="49">
                  <c:v>47.4392030337327</c:v>
                </c:pt>
                <c:pt idx="50">
                  <c:v>47.4105998860403</c:v>
                </c:pt>
                <c:pt idx="51">
                  <c:v>47.3779731876927</c:v>
                </c:pt>
                <c:pt idx="52">
                  <c:v>47.3414040748912</c:v>
                </c:pt>
                <c:pt idx="53">
                  <c:v>47.3009730326632</c:v>
                </c:pt>
                <c:pt idx="54">
                  <c:v>47.2567598701543</c:v>
                </c:pt>
                <c:pt idx="55">
                  <c:v>47.2088436975585</c:v>
                </c:pt>
                <c:pt idx="56">
                  <c:v>47.1573029046279</c:v>
                </c:pt>
                <c:pt idx="57">
                  <c:v>47.1022151407044</c:v>
                </c:pt>
                <c:pt idx="58">
                  <c:v>47.0436572962156</c:v>
                </c:pt>
                <c:pt idx="59">
                  <c:v>46.9817054855803</c:v>
                </c:pt>
                <c:pt idx="60">
                  <c:v>46.9164350314683</c:v>
                </c:pt>
                <c:pt idx="61">
                  <c:v>46.8479204503643</c:v>
                </c:pt>
                <c:pt idx="62">
                  <c:v>46.7762354393817</c:v>
                </c:pt>
                <c:pt idx="63">
                  <c:v>46.701452864278</c:v>
                </c:pt>
                <c:pt idx="64">
                  <c:v>46.6236447486234</c:v>
                </c:pt>
                <c:pt idx="65">
                  <c:v>46.542882264074</c:v>
                </c:pt>
                <c:pt idx="66">
                  <c:v>46.4592357217047</c:v>
                </c:pt>
                <c:pt idx="67">
                  <c:v>46.3727745643568</c:v>
                </c:pt>
                <c:pt idx="68">
                  <c:v>46.2835673599574</c:v>
                </c:pt>
                <c:pt idx="69">
                  <c:v>46.1916817957673</c:v>
                </c:pt>
                <c:pt idx="70">
                  <c:v>46.0971846735181</c:v>
                </c:pt>
                <c:pt idx="71">
                  <c:v>46.0001419053974</c:v>
                </c:pt>
                <c:pt idx="72">
                  <c:v>45.9006185108459</c:v>
                </c:pt>
                <c:pt idx="73">
                  <c:v>45.7986786141262</c:v>
                </c:pt>
                <c:pt idx="74">
                  <c:v>45.6943854426303</c:v>
                </c:pt>
                <c:pt idx="75">
                  <c:v>45.5878013258891</c:v>
                </c:pt>
                <c:pt idx="76">
                  <c:v>45.4789876952511</c:v>
                </c:pt>
                <c:pt idx="77">
                  <c:v>45.3680050841968</c:v>
                </c:pt>
                <c:pt idx="78">
                  <c:v>45.2549131292591</c:v>
                </c:pt>
                <c:pt idx="79">
                  <c:v>45.1397705715172</c:v>
                </c:pt>
                <c:pt idx="80">
                  <c:v>45.0226352586354</c:v>
                </c:pt>
                <c:pt idx="81">
                  <c:v>44.90356414742</c:v>
                </c:pt>
                <c:pt idx="82">
                  <c:v>44.7826133068636</c:v>
                </c:pt>
                <c:pt idx="83">
                  <c:v>44.659837921654</c:v>
                </c:pt>
                <c:pt idx="84">
                  <c:v>44.53529229612</c:v>
                </c:pt>
                <c:pt idx="85">
                  <c:v>44.4090298585897</c:v>
                </c:pt>
                <c:pt idx="86">
                  <c:v>44.2811031661391</c:v>
                </c:pt>
                <c:pt idx="87">
                  <c:v>44.1515639097066</c:v>
                </c:pt>
                <c:pt idx="88">
                  <c:v>44.0204629195525</c:v>
                </c:pt>
                <c:pt idx="89">
                  <c:v>43.8878501710422</c:v>
                </c:pt>
                <c:pt idx="90">
                  <c:v>43.7537747907327</c:v>
                </c:pt>
                <c:pt idx="91">
                  <c:v>43.6182850627429</c:v>
                </c:pt>
                <c:pt idx="92">
                  <c:v>43.4814284353893</c:v>
                </c:pt>
                <c:pt idx="93">
                  <c:v>43.3432515280688</c:v>
                </c:pt>
                <c:pt idx="94">
                  <c:v>43.2038001383713</c:v>
                </c:pt>
                <c:pt idx="95">
                  <c:v>43.0631192494057</c:v>
                </c:pt>
                <c:pt idx="96">
                  <c:v>42.9212530373238</c:v>
                </c:pt>
                <c:pt idx="97">
                  <c:v>42.7782448790258</c:v>
                </c:pt>
                <c:pt idx="98">
                  <c:v>42.6341373600335</c:v>
                </c:pt>
                <c:pt idx="99">
                  <c:v>42.4889722825176</c:v>
                </c:pt>
                <c:pt idx="100">
                  <c:v>42.3427906734645</c:v>
                </c:pt>
                <c:pt idx="101">
                  <c:v>42.1956327929711</c:v>
                </c:pt>
                <c:pt idx="102">
                  <c:v>42.0475381426545</c:v>
                </c:pt>
                <c:pt idx="103">
                  <c:v>41.8985454741645</c:v>
                </c:pt>
                <c:pt idx="104">
                  <c:v>41.7486927977891</c:v>
                </c:pt>
                <c:pt idx="105">
                  <c:v>41.598017391141</c:v>
                </c:pt>
                <c:pt idx="106">
                  <c:v>41.4465558079151</c:v>
                </c:pt>
                <c:pt idx="107">
                  <c:v>41.2943438867081</c:v>
                </c:pt>
                <c:pt idx="108">
                  <c:v>41.1414167598893</c:v>
                </c:pt>
                <c:pt idx="109">
                  <c:v>40.9878088625154</c:v>
                </c:pt>
                <c:pt idx="110">
                  <c:v>40.83355394128</c:v>
                </c:pt>
                <c:pt idx="111">
                  <c:v>40.6786850634896</c:v>
                </c:pt>
                <c:pt idx="112">
                  <c:v>40.5232346260584</c:v>
                </c:pt>
                <c:pt idx="113">
                  <c:v>40.3672343645163</c:v>
                </c:pt>
                <c:pt idx="114">
                  <c:v>40.2107153620202</c:v>
                </c:pt>
                <c:pt idx="115">
                  <c:v>40.0537080583646</c:v>
                </c:pt>
                <c:pt idx="116">
                  <c:v>39.8962422589845</c:v>
                </c:pt>
                <c:pt idx="117">
                  <c:v>39.7383471439436</c:v>
                </c:pt>
                <c:pt idx="118">
                  <c:v>39.5800512769044</c:v>
                </c:pt>
                <c:pt idx="119">
                  <c:v>39.4213826140729</c:v>
                </c:pt>
                <c:pt idx="120">
                  <c:v>39.2623685131141</c:v>
                </c:pt>
                <c:pt idx="121">
                  <c:v>39.1030357420329</c:v>
                </c:pt>
                <c:pt idx="122">
                  <c:v>38.9434104880165</c:v>
                </c:pt>
                <c:pt idx="123">
                  <c:v>38.7835183662341</c:v>
                </c:pt>
                <c:pt idx="124">
                  <c:v>38.6233844285891</c:v>
                </c:pt>
                <c:pt idx="125">
                  <c:v>38.4630331724213</c:v>
                </c:pt>
                <c:pt idx="126">
                  <c:v>38.3024885491553</c:v>
                </c:pt>
                <c:pt idx="127">
                  <c:v>38.1417739728903</c:v>
                </c:pt>
                <c:pt idx="128">
                  <c:v>37.9809123289315</c:v>
                </c:pt>
                <c:pt idx="129">
                  <c:v>37.8199259822568</c:v>
                </c:pt>
                <c:pt idx="130">
                  <c:v>37.6588367859185</c:v>
                </c:pt>
                <c:pt idx="131">
                  <c:v>37.4976660893763</c:v>
                </c:pt>
                <c:pt idx="132">
                  <c:v>37.3364347467597</c:v>
                </c:pt>
                <c:pt idx="133">
                  <c:v>37.1751631250584</c:v>
                </c:pt>
                <c:pt idx="134">
                  <c:v>37.0138711122372</c:v>
                </c:pt>
                <c:pt idx="135">
                  <c:v>36.8525781252749</c:v>
                </c:pt>
                <c:pt idx="136">
                  <c:v>36.6913031181249</c:v>
                </c:pt>
                <c:pt idx="137">
                  <c:v>36.5300645895965</c:v>
                </c:pt>
                <c:pt idx="138">
                  <c:v>36.3688805911548</c:v>
                </c:pt>
                <c:pt idx="139">
                  <c:v>36.2077687346387</c:v>
                </c:pt>
                <c:pt idx="140">
                  <c:v>36.0467461998954</c:v>
                </c:pt>
                <c:pt idx="141">
                  <c:v>35.8858297423304</c:v>
                </c:pt>
                <c:pt idx="142">
                  <c:v>35.7250357003728</c:v>
                </c:pt>
                <c:pt idx="143">
                  <c:v>35.5643800028534</c:v>
                </c:pt>
                <c:pt idx="144">
                  <c:v>35.4038781762977</c:v>
                </c:pt>
                <c:pt idx="145">
                  <c:v>35.2435453521301</c:v>
                </c:pt>
                <c:pt idx="146">
                  <c:v>35.0833962737909</c:v>
                </c:pt>
                <c:pt idx="147">
                  <c:v>34.9234453037654</c:v>
                </c:pt>
                <c:pt idx="148">
                  <c:v>34.7637064305242</c:v>
                </c:pt>
                <c:pt idx="149">
                  <c:v>34.6041932753742</c:v>
                </c:pt>
                <c:pt idx="150">
                  <c:v>34.4449190992216</c:v>
                </c:pt>
                <c:pt idx="151">
                  <c:v>34.2858968092449</c:v>
                </c:pt>
                <c:pt idx="152">
                  <c:v>34.1271389654801</c:v>
                </c:pt>
                <c:pt idx="153">
                  <c:v>33.9686577873151</c:v>
                </c:pt>
                <c:pt idx="154">
                  <c:v>33.8104651598972</c:v>
                </c:pt>
                <c:pt idx="155">
                  <c:v>33.6525726404499</c:v>
                </c:pt>
                <c:pt idx="156">
                  <c:v>33.4949914645026</c:v>
                </c:pt>
                <c:pt idx="157">
                  <c:v>33.3377325520312</c:v>
                </c:pt>
                <c:pt idx="158">
                  <c:v>33.1808065135109</c:v>
                </c:pt>
                <c:pt idx="159">
                  <c:v>33.0242236558816</c:v>
                </c:pt>
                <c:pt idx="160">
                  <c:v>32.8679939884256</c:v>
                </c:pt>
                <c:pt idx="161">
                  <c:v>32.7121272285589</c:v>
                </c:pt>
                <c:pt idx="162">
                  <c:v>32.5566328075361</c:v>
                </c:pt>
                <c:pt idx="163">
                  <c:v>32.4015198760694</c:v>
                </c:pt>
                <c:pt idx="164">
                  <c:v>32.2467973098621</c:v>
                </c:pt>
                <c:pt idx="165">
                  <c:v>32.0924737150584</c:v>
                </c:pt>
                <c:pt idx="166">
                  <c:v>31.9385574336075</c:v>
                </c:pt>
                <c:pt idx="167">
                  <c:v>31.785056548546</c:v>
                </c:pt>
                <c:pt idx="168">
                  <c:v>31.6319788891962</c:v>
                </c:pt>
                <c:pt idx="169">
                  <c:v>31.4793320362831</c:v>
                </c:pt>
                <c:pt idx="170">
                  <c:v>31.3271233269695</c:v>
                </c:pt>
                <c:pt idx="171">
                  <c:v>31.1753598598108</c:v>
                </c:pt>
                <c:pt idx="172">
                  <c:v>31.0240484996298</c:v>
                </c:pt>
                <c:pt idx="173">
                  <c:v>30.8731958823119</c:v>
                </c:pt>
                <c:pt idx="174">
                  <c:v>30.7228084195228</c:v>
                </c:pt>
                <c:pt idx="175">
                  <c:v>30.5728923033477</c:v>
                </c:pt>
                <c:pt idx="176">
                  <c:v>30.4234535108543</c:v>
                </c:pt>
                <c:pt idx="177">
                  <c:v>30.2744978085795</c:v>
                </c:pt>
                <c:pt idx="178">
                  <c:v>30.1260307569412</c:v>
                </c:pt>
                <c:pt idx="179">
                  <c:v>29.9780577145754</c:v>
                </c:pt>
                <c:pt idx="180">
                  <c:v>29.8305838426003</c:v>
                </c:pt>
                <c:pt idx="181">
                  <c:v>29.6836141088074</c:v>
                </c:pt>
                <c:pt idx="182">
                  <c:v>29.5371532917811</c:v>
                </c:pt>
                <c:pt idx="183">
                  <c:v>29.391205984947</c:v>
                </c:pt>
                <c:pt idx="184">
                  <c:v>29.2457766005506</c:v>
                </c:pt>
                <c:pt idx="185">
                  <c:v>29.1008693735666</c:v>
                </c:pt>
                <c:pt idx="186">
                  <c:v>28.9564883655398</c:v>
                </c:pt>
                <c:pt idx="187">
                  <c:v>28.8126374683588</c:v>
                </c:pt>
                <c:pt idx="188">
                  <c:v>28.6693204079627</c:v>
                </c:pt>
                <c:pt idx="189">
                  <c:v>28.526540747983</c:v>
                </c:pt>
                <c:pt idx="190">
                  <c:v>28.3843018933195</c:v>
                </c:pt>
                <c:pt idx="191">
                  <c:v>28.2426070936529</c:v>
                </c:pt>
                <c:pt idx="192">
                  <c:v>28.1014594468949</c:v>
                </c:pt>
                <c:pt idx="193">
                  <c:v>27.9608619025748</c:v>
                </c:pt>
                <c:pt idx="194">
                  <c:v>27.8208172651655</c:v>
                </c:pt>
                <c:pt idx="195">
                  <c:v>27.6813281973493</c:v>
                </c:pt>
                <c:pt idx="196">
                  <c:v>27.5423972232239</c:v>
                </c:pt>
                <c:pt idx="197">
                  <c:v>27.4040267314486</c:v>
                </c:pt>
                <c:pt idx="198">
                  <c:v>27.2662189783346</c:v>
                </c:pt>
                <c:pt idx="199">
                  <c:v>27.1289760908765</c:v>
                </c:pt>
                <c:pt idx="200">
                  <c:v>26.9923000697284</c:v>
                </c:pt>
                <c:pt idx="201">
                  <c:v>26.8561927921245</c:v>
                </c:pt>
                <c:pt idx="202">
                  <c:v>26.7206560147452</c:v>
                </c:pt>
                <c:pt idx="203">
                  <c:v>26.5856913765294</c:v>
                </c:pt>
                <c:pt idx="204">
                  <c:v>26.4513004014338</c:v>
                </c:pt>
                <c:pt idx="205">
                  <c:v>26.3174845011402</c:v>
                </c:pt>
                <c:pt idx="206">
                  <c:v>26.1842449777122</c:v>
                </c:pt>
                <c:pt idx="207">
                  <c:v>26.0515830261999</c:v>
                </c:pt>
                <c:pt idx="208">
                  <c:v>25.9194997371965</c:v>
                </c:pt>
                <c:pt idx="209">
                  <c:v>25.7879960993451</c:v>
                </c:pt>
                <c:pt idx="210">
                  <c:v>25.6570730017978</c:v>
                </c:pt>
                <c:pt idx="211">
                  <c:v>25.5267312366269</c:v>
                </c:pt>
                <c:pt idx="212">
                  <c:v>25.3969715011906</c:v>
                </c:pt>
                <c:pt idx="213">
                  <c:v>25.2677944004513</c:v>
                </c:pt>
                <c:pt idx="214">
                  <c:v>25.1392004492506</c:v>
                </c:pt>
                <c:pt idx="215">
                  <c:v>25.0111900745384</c:v>
                </c:pt>
                <c:pt idx="216">
                  <c:v>24.8837636175596</c:v>
                </c:pt>
                <c:pt idx="217">
                  <c:v>24.7569213359968</c:v>
                </c:pt>
                <c:pt idx="218">
                  <c:v>24.6306634060721</c:v>
                </c:pt>
                <c:pt idx="219">
                  <c:v>24.5049899246063</c:v>
                </c:pt>
                <c:pt idx="220">
                  <c:v>24.3799009110377</c:v>
                </c:pt>
                <c:pt idx="221">
                  <c:v>24.2553963094016</c:v>
                </c:pt>
                <c:pt idx="222">
                  <c:v>24.1314759902688</c:v>
                </c:pt>
                <c:pt idx="223">
                  <c:v>24.008139752647</c:v>
                </c:pt>
                <c:pt idx="224">
                  <c:v>23.8853873258433</c:v>
                </c:pt>
                <c:pt idx="225">
                  <c:v>23.7632183712893</c:v>
                </c:pt>
                <c:pt idx="226">
                  <c:v>23.6416324843295</c:v>
                </c:pt>
                <c:pt idx="227">
                  <c:v>23.5206291959742</c:v>
                </c:pt>
                <c:pt idx="228">
                  <c:v>23.4002079746157</c:v>
                </c:pt>
                <c:pt idx="229">
                  <c:v>23.2803682277107</c:v>
                </c:pt>
                <c:pt idx="230">
                  <c:v>23.1611093034283</c:v>
                </c:pt>
                <c:pt idx="231">
                  <c:v>23.0424304922634</c:v>
                </c:pt>
                <c:pt idx="232">
                  <c:v>22.9243310286185</c:v>
                </c:pt>
                <c:pt idx="233">
                  <c:v>22.806810092352</c:v>
                </c:pt>
                <c:pt idx="234">
                  <c:v>22.6898668102946</c:v>
                </c:pt>
                <c:pt idx="235">
                  <c:v>22.5735002577353</c:v>
                </c:pt>
                <c:pt idx="236">
                  <c:v>22.4577094598755</c:v>
                </c:pt>
                <c:pt idx="237">
                  <c:v>22.3424933932538</c:v>
                </c:pt>
                <c:pt idx="238">
                  <c:v>22.2278509871405</c:v>
                </c:pt>
                <c:pt idx="239">
                  <c:v>22.1137811249034</c:v>
                </c:pt>
                <c:pt idx="240">
                  <c:v>22.0002826453449</c:v>
                </c:pt>
                <c:pt idx="241">
                  <c:v>21.8873543440109</c:v>
                </c:pt>
                <c:pt idx="242">
                  <c:v>21.7749949744722</c:v>
                </c:pt>
                <c:pt idx="243">
                  <c:v>21.6632032495792</c:v>
                </c:pt>
                <c:pt idx="244">
                  <c:v>21.5519778426893</c:v>
                </c:pt>
                <c:pt idx="245">
                  <c:v>21.4413173888691</c:v>
                </c:pt>
                <c:pt idx="246">
                  <c:v>21.3312204860703</c:v>
                </c:pt>
                <c:pt idx="247">
                  <c:v>21.2216856962809</c:v>
                </c:pt>
                <c:pt idx="248">
                  <c:v>21.1127115466519</c:v>
                </c:pt>
                <c:pt idx="249">
                  <c:v>21.0042965305993</c:v>
                </c:pt>
                <c:pt idx="250">
                  <c:v>20.8964391088827</c:v>
                </c:pt>
                <c:pt idx="251">
                  <c:v>20.7891377106606</c:v>
                </c:pt>
                <c:pt idx="252">
                  <c:v>20.6823907345232</c:v>
                </c:pt>
                <c:pt idx="253">
                  <c:v>20.5761965495018</c:v>
                </c:pt>
                <c:pt idx="254">
                  <c:v>20.4705534960574</c:v>
                </c:pt>
                <c:pt idx="255">
                  <c:v>20.365459887047</c:v>
                </c:pt>
                <c:pt idx="256">
                  <c:v>20.2609140086688</c:v>
                </c:pt>
                <c:pt idx="257">
                  <c:v>20.1569141213869</c:v>
                </c:pt>
                <c:pt idx="258">
                  <c:v>20.0534584608355</c:v>
                </c:pt>
                <c:pt idx="259">
                  <c:v>19.9505452387032</c:v>
                </c:pt>
                <c:pt idx="260">
                  <c:v>19.8481726435973</c:v>
                </c:pt>
                <c:pt idx="261">
                  <c:v>19.7463388418898</c:v>
                </c:pt>
                <c:pt idx="262">
                  <c:v>19.6450419785434</c:v>
                </c:pt>
                <c:pt idx="263">
                  <c:v>19.5442801779201</c:v>
                </c:pt>
                <c:pt idx="264">
                  <c:v>19.4440515445709</c:v>
                </c:pt>
                <c:pt idx="265">
                  <c:v>19.344354164008</c:v>
                </c:pt>
                <c:pt idx="266">
                  <c:v>19.2451861034599</c:v>
                </c:pt>
                <c:pt idx="267">
                  <c:v>19.1465454126087</c:v>
                </c:pt>
                <c:pt idx="268">
                  <c:v>19.0484301243115</c:v>
                </c:pt>
                <c:pt idx="269">
                  <c:v>18.9508382553046</c:v>
                </c:pt>
                <c:pt idx="270">
                  <c:v>18.8537678068918</c:v>
                </c:pt>
                <c:pt idx="271">
                  <c:v>18.7572167656178</c:v>
                </c:pt>
                <c:pt idx="272">
                  <c:v>18.6611831039245</c:v>
                </c:pt>
                <c:pt idx="273">
                  <c:v>18.5656647807934</c:v>
                </c:pt>
                <c:pt idx="274">
                  <c:v>18.4706597423727</c:v>
                </c:pt>
                <c:pt idx="275">
                  <c:v>18.3761659225901</c:v>
                </c:pt>
                <c:pt idx="276">
                  <c:v>18.2821812437506</c:v>
                </c:pt>
                <c:pt idx="277">
                  <c:v>18.1887036171208</c:v>
                </c:pt>
                <c:pt idx="278">
                  <c:v>18.0957309435001</c:v>
                </c:pt>
                <c:pt idx="279">
                  <c:v>18.003261113777</c:v>
                </c:pt>
                <c:pt idx="280">
                  <c:v>17.9112920094734</c:v>
                </c:pt>
                <c:pt idx="281">
                  <c:v>17.8198215032755</c:v>
                </c:pt>
                <c:pt idx="282">
                  <c:v>17.7288474595521</c:v>
                </c:pt>
                <c:pt idx="283">
                  <c:v>17.6383677348608</c:v>
                </c:pt>
                <c:pt idx="284">
                  <c:v>17.5483801784412</c:v>
                </c:pt>
                <c:pt idx="285">
                  <c:v>17.4588826326974</c:v>
                </c:pt>
                <c:pt idx="286">
                  <c:v>17.3698729336679</c:v>
                </c:pt>
                <c:pt idx="287">
                  <c:v>17.2813489114841</c:v>
                </c:pt>
                <c:pt idx="288">
                  <c:v>17.1933083908183</c:v>
                </c:pt>
                <c:pt idx="289">
                  <c:v>17.1057491913203</c:v>
                </c:pt>
                <c:pt idx="290">
                  <c:v>17.0186691280426</c:v>
                </c:pt>
                <c:pt idx="291">
                  <c:v>16.9320660118567</c:v>
                </c:pt>
                <c:pt idx="292">
                  <c:v>16.8459376498572</c:v>
                </c:pt>
                <c:pt idx="293">
                  <c:v>16.7602818457571</c:v>
                </c:pt>
                <c:pt idx="294">
                  <c:v>16.675096400273</c:v>
                </c:pt>
                <c:pt idx="295">
                  <c:v>16.5903791114998</c:v>
                </c:pt>
                <c:pt idx="296">
                  <c:v>16.5061277752773</c:v>
                </c:pt>
                <c:pt idx="297">
                  <c:v>16.4223401855458</c:v>
                </c:pt>
                <c:pt idx="298">
                  <c:v>16.3390141346945</c:v>
                </c:pt>
                <c:pt idx="299">
                  <c:v>16.2561474138992</c:v>
                </c:pt>
                <c:pt idx="300">
                  <c:v>16.1737378134524</c:v>
                </c:pt>
                <c:pt idx="301">
                  <c:v>16.0917831230845</c:v>
                </c:pt>
                <c:pt idx="302">
                  <c:v>16.0102811322766</c:v>
                </c:pt>
                <c:pt idx="303">
                  <c:v>15.9292296305653</c:v>
                </c:pt>
                <c:pt idx="304">
                  <c:v>15.848626407839</c:v>
                </c:pt>
                <c:pt idx="305">
                  <c:v>15.7684692546268</c:v>
                </c:pt>
                <c:pt idx="306">
                  <c:v>15.6887559623799</c:v>
                </c:pt>
                <c:pt idx="307">
                  <c:v>15.6094843237447</c:v>
                </c:pt>
                <c:pt idx="308">
                  <c:v>15.5306521328289</c:v>
                </c:pt>
                <c:pt idx="309">
                  <c:v>15.4522571854612</c:v>
                </c:pt>
                <c:pt idx="310">
                  <c:v>15.374297279442</c:v>
                </c:pt>
                <c:pt idx="311">
                  <c:v>15.2967702147897</c:v>
                </c:pt>
                <c:pt idx="312">
                  <c:v>15.2196737939777</c:v>
                </c:pt>
                <c:pt idx="313">
                  <c:v>15.1430058221668</c:v>
                </c:pt>
                <c:pt idx="314">
                  <c:v>15.0667641074299</c:v>
                </c:pt>
                <c:pt idx="315">
                  <c:v>14.9909464609709</c:v>
                </c:pt>
                <c:pt idx="316">
                  <c:v>14.9155506973373</c:v>
                </c:pt>
                <c:pt idx="317">
                  <c:v>14.8405746346265</c:v>
                </c:pt>
                <c:pt idx="318">
                  <c:v>14.7660160946865</c:v>
                </c:pt>
                <c:pt idx="319">
                  <c:v>14.6918729033102</c:v>
                </c:pt>
                <c:pt idx="320">
                  <c:v>14.6181428904253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"B(T_top)"</c:f>
              <c:strCache>
                <c:ptCount val="1"/>
                <c:pt idx="0">
                  <c:v>B(T_top)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'RT3 Slab &amp; MIT star'!$H$26:$H$346</c:f>
              <c:numCache>
                <c:formatCode>0</c:formatCode>
                <c:ptCount val="321"/>
                <c:pt idx="0">
                  <c:v>360</c:v>
                </c:pt>
                <c:pt idx="1">
                  <c:v>362</c:v>
                </c:pt>
                <c:pt idx="2">
                  <c:v>364</c:v>
                </c:pt>
                <c:pt idx="3">
                  <c:v>366</c:v>
                </c:pt>
                <c:pt idx="4">
                  <c:v>368</c:v>
                </c:pt>
                <c:pt idx="5">
                  <c:v>370</c:v>
                </c:pt>
                <c:pt idx="6">
                  <c:v>372</c:v>
                </c:pt>
                <c:pt idx="7">
                  <c:v>374</c:v>
                </c:pt>
                <c:pt idx="8">
                  <c:v>376</c:v>
                </c:pt>
                <c:pt idx="9">
                  <c:v>378</c:v>
                </c:pt>
                <c:pt idx="10">
                  <c:v>380</c:v>
                </c:pt>
                <c:pt idx="11">
                  <c:v>382</c:v>
                </c:pt>
                <c:pt idx="12">
                  <c:v>384</c:v>
                </c:pt>
                <c:pt idx="13">
                  <c:v>386</c:v>
                </c:pt>
                <c:pt idx="14">
                  <c:v>388</c:v>
                </c:pt>
                <c:pt idx="15">
                  <c:v>390</c:v>
                </c:pt>
                <c:pt idx="16">
                  <c:v>392</c:v>
                </c:pt>
                <c:pt idx="17">
                  <c:v>394</c:v>
                </c:pt>
                <c:pt idx="18">
                  <c:v>396</c:v>
                </c:pt>
                <c:pt idx="19">
                  <c:v>398</c:v>
                </c:pt>
                <c:pt idx="20">
                  <c:v>400</c:v>
                </c:pt>
                <c:pt idx="21">
                  <c:v>402</c:v>
                </c:pt>
                <c:pt idx="22">
                  <c:v>404</c:v>
                </c:pt>
                <c:pt idx="23">
                  <c:v>406</c:v>
                </c:pt>
                <c:pt idx="24">
                  <c:v>408</c:v>
                </c:pt>
                <c:pt idx="25">
                  <c:v>410</c:v>
                </c:pt>
                <c:pt idx="26">
                  <c:v>412</c:v>
                </c:pt>
                <c:pt idx="27">
                  <c:v>414</c:v>
                </c:pt>
                <c:pt idx="28">
                  <c:v>416</c:v>
                </c:pt>
                <c:pt idx="29">
                  <c:v>418</c:v>
                </c:pt>
                <c:pt idx="30">
                  <c:v>420</c:v>
                </c:pt>
                <c:pt idx="31">
                  <c:v>422</c:v>
                </c:pt>
                <c:pt idx="32">
                  <c:v>424</c:v>
                </c:pt>
                <c:pt idx="33">
                  <c:v>426</c:v>
                </c:pt>
                <c:pt idx="34">
                  <c:v>428</c:v>
                </c:pt>
                <c:pt idx="35">
                  <c:v>430</c:v>
                </c:pt>
                <c:pt idx="36">
                  <c:v>432</c:v>
                </c:pt>
                <c:pt idx="37">
                  <c:v>434</c:v>
                </c:pt>
                <c:pt idx="38">
                  <c:v>436</c:v>
                </c:pt>
                <c:pt idx="39">
                  <c:v>438</c:v>
                </c:pt>
                <c:pt idx="40">
                  <c:v>440</c:v>
                </c:pt>
                <c:pt idx="41">
                  <c:v>442</c:v>
                </c:pt>
                <c:pt idx="42">
                  <c:v>444</c:v>
                </c:pt>
                <c:pt idx="43">
                  <c:v>446</c:v>
                </c:pt>
                <c:pt idx="44">
                  <c:v>448</c:v>
                </c:pt>
                <c:pt idx="45">
                  <c:v>450</c:v>
                </c:pt>
                <c:pt idx="46">
                  <c:v>452</c:v>
                </c:pt>
                <c:pt idx="47">
                  <c:v>454</c:v>
                </c:pt>
                <c:pt idx="48">
                  <c:v>456</c:v>
                </c:pt>
                <c:pt idx="49">
                  <c:v>458</c:v>
                </c:pt>
                <c:pt idx="50">
                  <c:v>460</c:v>
                </c:pt>
                <c:pt idx="51">
                  <c:v>462</c:v>
                </c:pt>
                <c:pt idx="52">
                  <c:v>464</c:v>
                </c:pt>
                <c:pt idx="53">
                  <c:v>466</c:v>
                </c:pt>
                <c:pt idx="54">
                  <c:v>468</c:v>
                </c:pt>
                <c:pt idx="55">
                  <c:v>470</c:v>
                </c:pt>
                <c:pt idx="56">
                  <c:v>472</c:v>
                </c:pt>
                <c:pt idx="57">
                  <c:v>474</c:v>
                </c:pt>
                <c:pt idx="58">
                  <c:v>476</c:v>
                </c:pt>
                <c:pt idx="59">
                  <c:v>478</c:v>
                </c:pt>
                <c:pt idx="60">
                  <c:v>480</c:v>
                </c:pt>
                <c:pt idx="61">
                  <c:v>482</c:v>
                </c:pt>
                <c:pt idx="62">
                  <c:v>484</c:v>
                </c:pt>
                <c:pt idx="63">
                  <c:v>486</c:v>
                </c:pt>
                <c:pt idx="64">
                  <c:v>488</c:v>
                </c:pt>
                <c:pt idx="65">
                  <c:v>490</c:v>
                </c:pt>
                <c:pt idx="66">
                  <c:v>492</c:v>
                </c:pt>
                <c:pt idx="67">
                  <c:v>494</c:v>
                </c:pt>
                <c:pt idx="68">
                  <c:v>496</c:v>
                </c:pt>
                <c:pt idx="69">
                  <c:v>498</c:v>
                </c:pt>
                <c:pt idx="70">
                  <c:v>500</c:v>
                </c:pt>
                <c:pt idx="71">
                  <c:v>502</c:v>
                </c:pt>
                <c:pt idx="72">
                  <c:v>504</c:v>
                </c:pt>
                <c:pt idx="73">
                  <c:v>506</c:v>
                </c:pt>
                <c:pt idx="74">
                  <c:v>508</c:v>
                </c:pt>
                <c:pt idx="75">
                  <c:v>510</c:v>
                </c:pt>
                <c:pt idx="76">
                  <c:v>512</c:v>
                </c:pt>
                <c:pt idx="77">
                  <c:v>514</c:v>
                </c:pt>
                <c:pt idx="78">
                  <c:v>516</c:v>
                </c:pt>
                <c:pt idx="79">
                  <c:v>518</c:v>
                </c:pt>
                <c:pt idx="80">
                  <c:v>520</c:v>
                </c:pt>
                <c:pt idx="81">
                  <c:v>522</c:v>
                </c:pt>
                <c:pt idx="82">
                  <c:v>524</c:v>
                </c:pt>
                <c:pt idx="83">
                  <c:v>526</c:v>
                </c:pt>
                <c:pt idx="84">
                  <c:v>528</c:v>
                </c:pt>
                <c:pt idx="85">
                  <c:v>530</c:v>
                </c:pt>
                <c:pt idx="86">
                  <c:v>532</c:v>
                </c:pt>
                <c:pt idx="87">
                  <c:v>534</c:v>
                </c:pt>
                <c:pt idx="88">
                  <c:v>536</c:v>
                </c:pt>
                <c:pt idx="89">
                  <c:v>538</c:v>
                </c:pt>
                <c:pt idx="90">
                  <c:v>540</c:v>
                </c:pt>
                <c:pt idx="91">
                  <c:v>542</c:v>
                </c:pt>
                <c:pt idx="92">
                  <c:v>544</c:v>
                </c:pt>
                <c:pt idx="93">
                  <c:v>546</c:v>
                </c:pt>
                <c:pt idx="94">
                  <c:v>548</c:v>
                </c:pt>
                <c:pt idx="95">
                  <c:v>550</c:v>
                </c:pt>
                <c:pt idx="96">
                  <c:v>552</c:v>
                </c:pt>
                <c:pt idx="97">
                  <c:v>554</c:v>
                </c:pt>
                <c:pt idx="98">
                  <c:v>556</c:v>
                </c:pt>
                <c:pt idx="99">
                  <c:v>558</c:v>
                </c:pt>
                <c:pt idx="100">
                  <c:v>560</c:v>
                </c:pt>
                <c:pt idx="101">
                  <c:v>562</c:v>
                </c:pt>
                <c:pt idx="102">
                  <c:v>564</c:v>
                </c:pt>
                <c:pt idx="103">
                  <c:v>566</c:v>
                </c:pt>
                <c:pt idx="104">
                  <c:v>568</c:v>
                </c:pt>
                <c:pt idx="105">
                  <c:v>570</c:v>
                </c:pt>
                <c:pt idx="106">
                  <c:v>572</c:v>
                </c:pt>
                <c:pt idx="107">
                  <c:v>574</c:v>
                </c:pt>
                <c:pt idx="108">
                  <c:v>576</c:v>
                </c:pt>
                <c:pt idx="109">
                  <c:v>578</c:v>
                </c:pt>
                <c:pt idx="110">
                  <c:v>580</c:v>
                </c:pt>
                <c:pt idx="111">
                  <c:v>582</c:v>
                </c:pt>
                <c:pt idx="112">
                  <c:v>584</c:v>
                </c:pt>
                <c:pt idx="113">
                  <c:v>586</c:v>
                </c:pt>
                <c:pt idx="114">
                  <c:v>588</c:v>
                </c:pt>
                <c:pt idx="115">
                  <c:v>590</c:v>
                </c:pt>
                <c:pt idx="116">
                  <c:v>592</c:v>
                </c:pt>
                <c:pt idx="117">
                  <c:v>594</c:v>
                </c:pt>
                <c:pt idx="118">
                  <c:v>596</c:v>
                </c:pt>
                <c:pt idx="119">
                  <c:v>598</c:v>
                </c:pt>
                <c:pt idx="120">
                  <c:v>600</c:v>
                </c:pt>
                <c:pt idx="121">
                  <c:v>602</c:v>
                </c:pt>
                <c:pt idx="122">
                  <c:v>604</c:v>
                </c:pt>
                <c:pt idx="123">
                  <c:v>606</c:v>
                </c:pt>
                <c:pt idx="124">
                  <c:v>608</c:v>
                </c:pt>
                <c:pt idx="125">
                  <c:v>610</c:v>
                </c:pt>
                <c:pt idx="126">
                  <c:v>612</c:v>
                </c:pt>
                <c:pt idx="127">
                  <c:v>614</c:v>
                </c:pt>
                <c:pt idx="128">
                  <c:v>616</c:v>
                </c:pt>
                <c:pt idx="129">
                  <c:v>618</c:v>
                </c:pt>
                <c:pt idx="130">
                  <c:v>620</c:v>
                </c:pt>
                <c:pt idx="131">
                  <c:v>622</c:v>
                </c:pt>
                <c:pt idx="132">
                  <c:v>624</c:v>
                </c:pt>
                <c:pt idx="133">
                  <c:v>626</c:v>
                </c:pt>
                <c:pt idx="134">
                  <c:v>628</c:v>
                </c:pt>
                <c:pt idx="135">
                  <c:v>630</c:v>
                </c:pt>
                <c:pt idx="136">
                  <c:v>632</c:v>
                </c:pt>
                <c:pt idx="137">
                  <c:v>634</c:v>
                </c:pt>
                <c:pt idx="138">
                  <c:v>636</c:v>
                </c:pt>
                <c:pt idx="139">
                  <c:v>638</c:v>
                </c:pt>
                <c:pt idx="140">
                  <c:v>640</c:v>
                </c:pt>
                <c:pt idx="141">
                  <c:v>642</c:v>
                </c:pt>
                <c:pt idx="142">
                  <c:v>644</c:v>
                </c:pt>
                <c:pt idx="143">
                  <c:v>646</c:v>
                </c:pt>
                <c:pt idx="144">
                  <c:v>648</c:v>
                </c:pt>
                <c:pt idx="145">
                  <c:v>650</c:v>
                </c:pt>
                <c:pt idx="146">
                  <c:v>652</c:v>
                </c:pt>
                <c:pt idx="147">
                  <c:v>654</c:v>
                </c:pt>
                <c:pt idx="148">
                  <c:v>656</c:v>
                </c:pt>
                <c:pt idx="149">
                  <c:v>658</c:v>
                </c:pt>
                <c:pt idx="150">
                  <c:v>660</c:v>
                </c:pt>
                <c:pt idx="151">
                  <c:v>662</c:v>
                </c:pt>
                <c:pt idx="152">
                  <c:v>664</c:v>
                </c:pt>
                <c:pt idx="153">
                  <c:v>666</c:v>
                </c:pt>
                <c:pt idx="154">
                  <c:v>668</c:v>
                </c:pt>
                <c:pt idx="155">
                  <c:v>670</c:v>
                </c:pt>
                <c:pt idx="156">
                  <c:v>672</c:v>
                </c:pt>
                <c:pt idx="157">
                  <c:v>674</c:v>
                </c:pt>
                <c:pt idx="158">
                  <c:v>676</c:v>
                </c:pt>
                <c:pt idx="159">
                  <c:v>678</c:v>
                </c:pt>
                <c:pt idx="160">
                  <c:v>680</c:v>
                </c:pt>
                <c:pt idx="161">
                  <c:v>682</c:v>
                </c:pt>
                <c:pt idx="162">
                  <c:v>684</c:v>
                </c:pt>
                <c:pt idx="163">
                  <c:v>686</c:v>
                </c:pt>
                <c:pt idx="164">
                  <c:v>688</c:v>
                </c:pt>
                <c:pt idx="165">
                  <c:v>690</c:v>
                </c:pt>
                <c:pt idx="166">
                  <c:v>692</c:v>
                </c:pt>
                <c:pt idx="167">
                  <c:v>694</c:v>
                </c:pt>
                <c:pt idx="168">
                  <c:v>696</c:v>
                </c:pt>
                <c:pt idx="169">
                  <c:v>698</c:v>
                </c:pt>
                <c:pt idx="170">
                  <c:v>700</c:v>
                </c:pt>
                <c:pt idx="171">
                  <c:v>702</c:v>
                </c:pt>
                <c:pt idx="172">
                  <c:v>704</c:v>
                </c:pt>
                <c:pt idx="173">
                  <c:v>706</c:v>
                </c:pt>
                <c:pt idx="174">
                  <c:v>708</c:v>
                </c:pt>
                <c:pt idx="175">
                  <c:v>710</c:v>
                </c:pt>
                <c:pt idx="176">
                  <c:v>712</c:v>
                </c:pt>
                <c:pt idx="177">
                  <c:v>714</c:v>
                </c:pt>
                <c:pt idx="178">
                  <c:v>716</c:v>
                </c:pt>
                <c:pt idx="179">
                  <c:v>718</c:v>
                </c:pt>
                <c:pt idx="180">
                  <c:v>720</c:v>
                </c:pt>
                <c:pt idx="181">
                  <c:v>722</c:v>
                </c:pt>
                <c:pt idx="182">
                  <c:v>724</c:v>
                </c:pt>
                <c:pt idx="183">
                  <c:v>726</c:v>
                </c:pt>
                <c:pt idx="184">
                  <c:v>728</c:v>
                </c:pt>
                <c:pt idx="185">
                  <c:v>730</c:v>
                </c:pt>
                <c:pt idx="186">
                  <c:v>732</c:v>
                </c:pt>
                <c:pt idx="187">
                  <c:v>734</c:v>
                </c:pt>
                <c:pt idx="188">
                  <c:v>736</c:v>
                </c:pt>
                <c:pt idx="189">
                  <c:v>738</c:v>
                </c:pt>
                <c:pt idx="190">
                  <c:v>740</c:v>
                </c:pt>
                <c:pt idx="191">
                  <c:v>742</c:v>
                </c:pt>
                <c:pt idx="192">
                  <c:v>744</c:v>
                </c:pt>
                <c:pt idx="193">
                  <c:v>746</c:v>
                </c:pt>
                <c:pt idx="194">
                  <c:v>748</c:v>
                </c:pt>
                <c:pt idx="195">
                  <c:v>750</c:v>
                </c:pt>
                <c:pt idx="196">
                  <c:v>752</c:v>
                </c:pt>
                <c:pt idx="197">
                  <c:v>754</c:v>
                </c:pt>
                <c:pt idx="198">
                  <c:v>756</c:v>
                </c:pt>
                <c:pt idx="199">
                  <c:v>758</c:v>
                </c:pt>
                <c:pt idx="200">
                  <c:v>760</c:v>
                </c:pt>
                <c:pt idx="201">
                  <c:v>762</c:v>
                </c:pt>
                <c:pt idx="202">
                  <c:v>764</c:v>
                </c:pt>
                <c:pt idx="203">
                  <c:v>766</c:v>
                </c:pt>
                <c:pt idx="204">
                  <c:v>768</c:v>
                </c:pt>
                <c:pt idx="205">
                  <c:v>770</c:v>
                </c:pt>
                <c:pt idx="206">
                  <c:v>772</c:v>
                </c:pt>
                <c:pt idx="207">
                  <c:v>774</c:v>
                </c:pt>
                <c:pt idx="208">
                  <c:v>776</c:v>
                </c:pt>
                <c:pt idx="209">
                  <c:v>778</c:v>
                </c:pt>
                <c:pt idx="210">
                  <c:v>780</c:v>
                </c:pt>
                <c:pt idx="211">
                  <c:v>782</c:v>
                </c:pt>
                <c:pt idx="212">
                  <c:v>784</c:v>
                </c:pt>
                <c:pt idx="213">
                  <c:v>786</c:v>
                </c:pt>
                <c:pt idx="214">
                  <c:v>788</c:v>
                </c:pt>
                <c:pt idx="215">
                  <c:v>790</c:v>
                </c:pt>
                <c:pt idx="216">
                  <c:v>792</c:v>
                </c:pt>
                <c:pt idx="217">
                  <c:v>794</c:v>
                </c:pt>
                <c:pt idx="218">
                  <c:v>796</c:v>
                </c:pt>
                <c:pt idx="219">
                  <c:v>798</c:v>
                </c:pt>
                <c:pt idx="220">
                  <c:v>800</c:v>
                </c:pt>
                <c:pt idx="221">
                  <c:v>802</c:v>
                </c:pt>
                <c:pt idx="222">
                  <c:v>804</c:v>
                </c:pt>
                <c:pt idx="223">
                  <c:v>806</c:v>
                </c:pt>
                <c:pt idx="224">
                  <c:v>808</c:v>
                </c:pt>
                <c:pt idx="225">
                  <c:v>810</c:v>
                </c:pt>
                <c:pt idx="226">
                  <c:v>812</c:v>
                </c:pt>
                <c:pt idx="227">
                  <c:v>814</c:v>
                </c:pt>
                <c:pt idx="228">
                  <c:v>816</c:v>
                </c:pt>
                <c:pt idx="229">
                  <c:v>818</c:v>
                </c:pt>
                <c:pt idx="230">
                  <c:v>820</c:v>
                </c:pt>
                <c:pt idx="231">
                  <c:v>822</c:v>
                </c:pt>
                <c:pt idx="232">
                  <c:v>824</c:v>
                </c:pt>
                <c:pt idx="233">
                  <c:v>826</c:v>
                </c:pt>
                <c:pt idx="234">
                  <c:v>828</c:v>
                </c:pt>
                <c:pt idx="235">
                  <c:v>830</c:v>
                </c:pt>
                <c:pt idx="236">
                  <c:v>832</c:v>
                </c:pt>
                <c:pt idx="237">
                  <c:v>834</c:v>
                </c:pt>
                <c:pt idx="238">
                  <c:v>836</c:v>
                </c:pt>
                <c:pt idx="239">
                  <c:v>838</c:v>
                </c:pt>
                <c:pt idx="240">
                  <c:v>840</c:v>
                </c:pt>
                <c:pt idx="241">
                  <c:v>842</c:v>
                </c:pt>
                <c:pt idx="242">
                  <c:v>844</c:v>
                </c:pt>
                <c:pt idx="243">
                  <c:v>846</c:v>
                </c:pt>
                <c:pt idx="244">
                  <c:v>848</c:v>
                </c:pt>
                <c:pt idx="245">
                  <c:v>850</c:v>
                </c:pt>
                <c:pt idx="246">
                  <c:v>852</c:v>
                </c:pt>
                <c:pt idx="247">
                  <c:v>854</c:v>
                </c:pt>
                <c:pt idx="248">
                  <c:v>856</c:v>
                </c:pt>
                <c:pt idx="249">
                  <c:v>858</c:v>
                </c:pt>
                <c:pt idx="250">
                  <c:v>860</c:v>
                </c:pt>
                <c:pt idx="251">
                  <c:v>862</c:v>
                </c:pt>
                <c:pt idx="252">
                  <c:v>864</c:v>
                </c:pt>
                <c:pt idx="253">
                  <c:v>866</c:v>
                </c:pt>
                <c:pt idx="254">
                  <c:v>868</c:v>
                </c:pt>
                <c:pt idx="255">
                  <c:v>870</c:v>
                </c:pt>
                <c:pt idx="256">
                  <c:v>872</c:v>
                </c:pt>
                <c:pt idx="257">
                  <c:v>874</c:v>
                </c:pt>
                <c:pt idx="258">
                  <c:v>876</c:v>
                </c:pt>
                <c:pt idx="259">
                  <c:v>878</c:v>
                </c:pt>
                <c:pt idx="260">
                  <c:v>880</c:v>
                </c:pt>
                <c:pt idx="261">
                  <c:v>882</c:v>
                </c:pt>
                <c:pt idx="262">
                  <c:v>884</c:v>
                </c:pt>
                <c:pt idx="263">
                  <c:v>886</c:v>
                </c:pt>
                <c:pt idx="264">
                  <c:v>888</c:v>
                </c:pt>
                <c:pt idx="265">
                  <c:v>890</c:v>
                </c:pt>
                <c:pt idx="266">
                  <c:v>892</c:v>
                </c:pt>
                <c:pt idx="267">
                  <c:v>894</c:v>
                </c:pt>
                <c:pt idx="268">
                  <c:v>896</c:v>
                </c:pt>
                <c:pt idx="269">
                  <c:v>898</c:v>
                </c:pt>
                <c:pt idx="270">
                  <c:v>900</c:v>
                </c:pt>
                <c:pt idx="271">
                  <c:v>902</c:v>
                </c:pt>
                <c:pt idx="272">
                  <c:v>904</c:v>
                </c:pt>
                <c:pt idx="273">
                  <c:v>906</c:v>
                </c:pt>
                <c:pt idx="274">
                  <c:v>908</c:v>
                </c:pt>
                <c:pt idx="275">
                  <c:v>910</c:v>
                </c:pt>
                <c:pt idx="276">
                  <c:v>912</c:v>
                </c:pt>
                <c:pt idx="277">
                  <c:v>914</c:v>
                </c:pt>
                <c:pt idx="278">
                  <c:v>916</c:v>
                </c:pt>
                <c:pt idx="279">
                  <c:v>918</c:v>
                </c:pt>
                <c:pt idx="280">
                  <c:v>920</c:v>
                </c:pt>
                <c:pt idx="281">
                  <c:v>922</c:v>
                </c:pt>
                <c:pt idx="282">
                  <c:v>924</c:v>
                </c:pt>
                <c:pt idx="283">
                  <c:v>926</c:v>
                </c:pt>
                <c:pt idx="284">
                  <c:v>928</c:v>
                </c:pt>
                <c:pt idx="285">
                  <c:v>930</c:v>
                </c:pt>
                <c:pt idx="286">
                  <c:v>932</c:v>
                </c:pt>
                <c:pt idx="287">
                  <c:v>934</c:v>
                </c:pt>
                <c:pt idx="288">
                  <c:v>936</c:v>
                </c:pt>
                <c:pt idx="289">
                  <c:v>938</c:v>
                </c:pt>
                <c:pt idx="290">
                  <c:v>940</c:v>
                </c:pt>
                <c:pt idx="291">
                  <c:v>942</c:v>
                </c:pt>
                <c:pt idx="292">
                  <c:v>944</c:v>
                </c:pt>
                <c:pt idx="293">
                  <c:v>946</c:v>
                </c:pt>
                <c:pt idx="294">
                  <c:v>948</c:v>
                </c:pt>
                <c:pt idx="295">
                  <c:v>950</c:v>
                </c:pt>
                <c:pt idx="296">
                  <c:v>952</c:v>
                </c:pt>
                <c:pt idx="297">
                  <c:v>954</c:v>
                </c:pt>
                <c:pt idx="298">
                  <c:v>956</c:v>
                </c:pt>
                <c:pt idx="299">
                  <c:v>958</c:v>
                </c:pt>
                <c:pt idx="300">
                  <c:v>960</c:v>
                </c:pt>
                <c:pt idx="301">
                  <c:v>962</c:v>
                </c:pt>
                <c:pt idx="302">
                  <c:v>964</c:v>
                </c:pt>
                <c:pt idx="303">
                  <c:v>966</c:v>
                </c:pt>
                <c:pt idx="304">
                  <c:v>968</c:v>
                </c:pt>
                <c:pt idx="305">
                  <c:v>970</c:v>
                </c:pt>
                <c:pt idx="306">
                  <c:v>972</c:v>
                </c:pt>
                <c:pt idx="307">
                  <c:v>974</c:v>
                </c:pt>
                <c:pt idx="308">
                  <c:v>976</c:v>
                </c:pt>
                <c:pt idx="309">
                  <c:v>978</c:v>
                </c:pt>
                <c:pt idx="310">
                  <c:v>980</c:v>
                </c:pt>
                <c:pt idx="311">
                  <c:v>982</c:v>
                </c:pt>
                <c:pt idx="312">
                  <c:v>984</c:v>
                </c:pt>
                <c:pt idx="313">
                  <c:v>986</c:v>
                </c:pt>
                <c:pt idx="314">
                  <c:v>988</c:v>
                </c:pt>
                <c:pt idx="315">
                  <c:v>990</c:v>
                </c:pt>
                <c:pt idx="316">
                  <c:v>992</c:v>
                </c:pt>
                <c:pt idx="317">
                  <c:v>994</c:v>
                </c:pt>
                <c:pt idx="318">
                  <c:v>996</c:v>
                </c:pt>
                <c:pt idx="319">
                  <c:v>998</c:v>
                </c:pt>
                <c:pt idx="320">
                  <c:v>1000</c:v>
                </c:pt>
              </c:numCache>
            </c:numRef>
          </c:xVal>
          <c:yVal>
            <c:numRef>
              <c:f>'RT3 Slab &amp; MIT star'!$L$26:$L$346</c:f>
              <c:numCache>
                <c:formatCode>0.00</c:formatCode>
                <c:ptCount val="321"/>
                <c:pt idx="0">
                  <c:v>2.73752988492471</c:v>
                </c:pt>
                <c:pt idx="1">
                  <c:v>2.79667236520407</c:v>
                </c:pt>
                <c:pt idx="2">
                  <c:v>2.85598904301349</c:v>
                </c:pt>
                <c:pt idx="3">
                  <c:v>2.91545822020844</c:v>
                </c:pt>
                <c:pt idx="4">
                  <c:v>2.975058368392</c:v>
                </c:pt>
                <c:pt idx="5">
                  <c:v>3.03476814552692</c:v>
                </c:pt>
                <c:pt idx="6">
                  <c:v>3.09456641174114</c:v>
                </c:pt>
                <c:pt idx="7">
                  <c:v>3.15443224433469</c:v>
                </c:pt>
                <c:pt idx="8">
                  <c:v>3.21434495199737</c:v>
                </c:pt>
                <c:pt idx="9">
                  <c:v>3.27428408824768</c:v>
                </c:pt>
                <c:pt idx="10">
                  <c:v>3.3342294641046</c:v>
                </c:pt>
                <c:pt idx="11">
                  <c:v>3.39416116000503</c:v>
                </c:pt>
                <c:pt idx="12">
                  <c:v>3.4540595369803</c:v>
                </c:pt>
                <c:pt idx="13">
                  <c:v>3.51390524710621</c:v>
                </c:pt>
                <c:pt idx="14">
                  <c:v>3.57367924324172</c:v>
                </c:pt>
                <c:pt idx="15">
                  <c:v>3.63336278807212</c:v>
                </c:pt>
                <c:pt idx="16">
                  <c:v>3.69293746247287</c:v>
                </c:pt>
                <c:pt idx="17">
                  <c:v>3.75238517321107</c:v>
                </c:pt>
                <c:pt idx="18">
                  <c:v>3.81168816000169</c:v>
                </c:pt>
                <c:pt idx="19">
                  <c:v>3.87082900193627</c:v>
                </c:pt>
                <c:pt idx="20">
                  <c:v>3.92979062330176</c:v>
                </c:pt>
                <c:pt idx="21">
                  <c:v>3.98855629880781</c:v>
                </c:pt>
                <c:pt idx="22">
                  <c:v>4.04710965824051</c:v>
                </c:pt>
                <c:pt idx="23">
                  <c:v>4.10543469056124</c:v>
                </c:pt>
                <c:pt idx="24">
                  <c:v>4.16351574746867</c:v>
                </c:pt>
                <c:pt idx="25">
                  <c:v>4.22133754644275</c:v>
                </c:pt>
                <c:pt idx="26">
                  <c:v>4.27888517328872</c:v>
                </c:pt>
                <c:pt idx="27">
                  <c:v>4.33614408419973</c:v>
                </c:pt>
                <c:pt idx="28">
                  <c:v>4.39310010735621</c:v>
                </c:pt>
                <c:pt idx="29">
                  <c:v>4.44973944408005</c:v>
                </c:pt>
                <c:pt idx="30">
                  <c:v>4.50604866956152</c:v>
                </c:pt>
                <c:pt idx="31">
                  <c:v>4.56201473317671</c:v>
                </c:pt>
                <c:pt idx="32">
                  <c:v>4.61762495841293</c:v>
                </c:pt>
                <c:pt idx="33">
                  <c:v>4.67286704241924</c:v>
                </c:pt>
                <c:pt idx="34">
                  <c:v>4.72772905519927</c:v>
                </c:pt>
                <c:pt idx="35">
                  <c:v>4.78219943846285</c:v>
                </c:pt>
                <c:pt idx="36">
                  <c:v>4.83626700415289</c:v>
                </c:pt>
                <c:pt idx="37">
                  <c:v>4.88992093266356</c:v>
                </c:pt>
                <c:pt idx="38">
                  <c:v>4.94315077076552</c:v>
                </c:pt>
                <c:pt idx="39">
                  <c:v>4.99594642925352</c:v>
                </c:pt>
                <c:pt idx="40">
                  <c:v>5.04829818033147</c:v>
                </c:pt>
                <c:pt idx="41">
                  <c:v>5.10019665474955</c:v>
                </c:pt>
                <c:pt idx="42">
                  <c:v>5.15163283870773</c:v>
                </c:pt>
                <c:pt idx="43">
                  <c:v>5.20259807053956</c:v>
                </c:pt>
                <c:pt idx="44">
                  <c:v>5.25308403718979</c:v>
                </c:pt>
                <c:pt idx="45">
                  <c:v>5.30308277049895</c:v>
                </c:pt>
                <c:pt idx="46">
                  <c:v>5.35258664330768</c:v>
                </c:pt>
                <c:pt idx="47">
                  <c:v>5.40158836539312</c:v>
                </c:pt>
                <c:pt idx="48">
                  <c:v>5.4500809792495</c:v>
                </c:pt>
                <c:pt idx="49">
                  <c:v>5.49805785572439</c:v>
                </c:pt>
                <c:pt idx="50">
                  <c:v>5.54551268952181</c:v>
                </c:pt>
                <c:pt idx="51">
                  <c:v>5.59243949458328</c:v>
                </c:pt>
                <c:pt idx="52">
                  <c:v>5.63883259935704</c:v>
                </c:pt>
                <c:pt idx="53">
                  <c:v>5.68468664196556</c:v>
                </c:pt>
                <c:pt idx="54">
                  <c:v>5.72999656528118</c:v>
                </c:pt>
                <c:pt idx="55">
                  <c:v>5.77475761191912</c:v>
                </c:pt>
                <c:pt idx="56">
                  <c:v>5.81896531915702</c:v>
                </c:pt>
                <c:pt idx="57">
                  <c:v>5.86261551378935</c:v>
                </c:pt>
                <c:pt idx="58">
                  <c:v>5.90570430692532</c:v>
                </c:pt>
                <c:pt idx="59">
                  <c:v>5.94822808873805</c:v>
                </c:pt>
                <c:pt idx="60">
                  <c:v>5.9901835231727</c:v>
                </c:pt>
                <c:pt idx="61">
                  <c:v>6.03156754262069</c:v>
                </c:pt>
                <c:pt idx="62">
                  <c:v>6.07237734256733</c:v>
                </c:pt>
                <c:pt idx="63">
                  <c:v>6.11261037621898</c:v>
                </c:pt>
                <c:pt idx="64">
                  <c:v>6.15226434911671</c:v>
                </c:pt>
                <c:pt idx="65">
                  <c:v>6.19133721374192</c:v>
                </c:pt>
                <c:pt idx="66">
                  <c:v>6.22982716412014</c:v>
                </c:pt>
                <c:pt idx="67">
                  <c:v>6.26773263042816</c:v>
                </c:pt>
                <c:pt idx="68">
                  <c:v>6.30505227360986</c:v>
                </c:pt>
                <c:pt idx="69">
                  <c:v>6.34178498000566</c:v>
                </c:pt>
                <c:pt idx="70">
                  <c:v>6.3779298560001</c:v>
                </c:pt>
                <c:pt idx="71">
                  <c:v>6.41348622269219</c:v>
                </c:pt>
                <c:pt idx="72">
                  <c:v>6.44845361059251</c:v>
                </c:pt>
                <c:pt idx="73">
                  <c:v>6.48283175435105</c:v>
                </c:pt>
                <c:pt idx="74">
                  <c:v>6.51662058751959</c:v>
                </c:pt>
                <c:pt idx="75">
                  <c:v>6.5498202373519</c:v>
                </c:pt>
                <c:pt idx="76">
                  <c:v>6.58243101964517</c:v>
                </c:pt>
                <c:pt idx="77">
                  <c:v>6.61445343362564</c:v>
                </c:pt>
                <c:pt idx="78">
                  <c:v>6.64588815688144</c:v>
                </c:pt>
                <c:pt idx="79">
                  <c:v>6.6767360403449</c:v>
                </c:pt>
                <c:pt idx="80">
                  <c:v>6.70699810332745</c:v>
                </c:pt>
                <c:pt idx="81">
                  <c:v>6.7366755286087</c:v>
                </c:pt>
                <c:pt idx="82">
                  <c:v>6.76576965758226</c:v>
                </c:pt>
                <c:pt idx="83">
                  <c:v>6.79428198546022</c:v>
                </c:pt>
                <c:pt idx="84">
                  <c:v>6.8222141565379</c:v>
                </c:pt>
                <c:pt idx="85">
                  <c:v>6.84956795952056</c:v>
                </c:pt>
                <c:pt idx="86">
                  <c:v>6.87634532291375</c:v>
                </c:pt>
                <c:pt idx="87">
                  <c:v>6.90254831047842</c:v>
                </c:pt>
                <c:pt idx="88">
                  <c:v>6.92817911675208</c:v>
                </c:pt>
                <c:pt idx="89">
                  <c:v>6.95324006263719</c:v>
                </c:pt>
                <c:pt idx="90">
                  <c:v>6.97773359105754</c:v>
                </c:pt>
                <c:pt idx="91">
                  <c:v>7.00166226268372</c:v>
                </c:pt>
                <c:pt idx="92">
                  <c:v>7.02502875172817</c:v>
                </c:pt>
                <c:pt idx="93">
                  <c:v>7.04783584181064</c:v>
                </c:pt>
                <c:pt idx="94">
                  <c:v>7.07008642189436</c:v>
                </c:pt>
                <c:pt idx="95">
                  <c:v>7.0917834822936</c:v>
                </c:pt>
                <c:pt idx="96">
                  <c:v>7.11293011075276</c:v>
                </c:pt>
                <c:pt idx="97">
                  <c:v>7.13352948859718</c:v>
                </c:pt>
                <c:pt idx="98">
                  <c:v>7.15358488695617</c:v>
                </c:pt>
                <c:pt idx="99">
                  <c:v>7.17309966305789</c:v>
                </c:pt>
                <c:pt idx="100">
                  <c:v>7.1920772565964</c:v>
                </c:pt>
                <c:pt idx="101">
                  <c:v>7.21052118617069</c:v>
                </c:pt>
                <c:pt idx="102">
                  <c:v>7.2284350457956</c:v>
                </c:pt>
                <c:pt idx="103">
                  <c:v>7.24582250148431</c:v>
                </c:pt>
                <c:pt idx="104">
                  <c:v>7.26268728790238</c:v>
                </c:pt>
                <c:pt idx="105">
                  <c:v>7.2790332050928</c:v>
                </c:pt>
                <c:pt idx="106">
                  <c:v>7.29486411527165</c:v>
                </c:pt>
                <c:pt idx="107">
                  <c:v>7.31018393969429</c:v>
                </c:pt>
                <c:pt idx="108">
                  <c:v>7.32499665559123</c:v>
                </c:pt>
                <c:pt idx="109">
                  <c:v>7.33930629317327</c:v>
                </c:pt>
                <c:pt idx="110">
                  <c:v>7.35311693270562</c:v>
                </c:pt>
                <c:pt idx="111">
                  <c:v>7.36643270165</c:v>
                </c:pt>
                <c:pt idx="112">
                  <c:v>7.37925777187434</c:v>
                </c:pt>
                <c:pt idx="113">
                  <c:v>7.3915963569295</c:v>
                </c:pt>
                <c:pt idx="114">
                  <c:v>7.40345270939205</c:v>
                </c:pt>
                <c:pt idx="115">
                  <c:v>7.41483111827261</c:v>
                </c:pt>
                <c:pt idx="116">
                  <c:v>7.42573590648892</c:v>
                </c:pt>
                <c:pt idx="117">
                  <c:v>7.43617142840298</c:v>
                </c:pt>
                <c:pt idx="118">
                  <c:v>7.44614206742122</c:v>
                </c:pt>
                <c:pt idx="119">
                  <c:v>7.45565223365724</c:v>
                </c:pt>
                <c:pt idx="120">
                  <c:v>7.46470636165599</c:v>
                </c:pt>
                <c:pt idx="121">
                  <c:v>7.47330890817873</c:v>
                </c:pt>
                <c:pt idx="122">
                  <c:v>7.48146435004785</c:v>
                </c:pt>
                <c:pt idx="123">
                  <c:v>7.4891771820507</c:v>
                </c:pt>
                <c:pt idx="124">
                  <c:v>7.49645191490148</c:v>
                </c:pt>
                <c:pt idx="125">
                  <c:v>7.50329307326045</c:v>
                </c:pt>
                <c:pt idx="126">
                  <c:v>7.50970519380943</c:v>
                </c:pt>
                <c:pt idx="127">
                  <c:v>7.51569282338271</c:v>
                </c:pt>
                <c:pt idx="128">
                  <c:v>7.52126051715254</c:v>
                </c:pt>
                <c:pt idx="129">
                  <c:v>7.52641283686817</c:v>
                </c:pt>
                <c:pt idx="130">
                  <c:v>7.53115434914758</c:v>
                </c:pt>
                <c:pt idx="131">
                  <c:v>7.53548962382108</c:v>
                </c:pt>
                <c:pt idx="132">
                  <c:v>7.53942323232559</c:v>
                </c:pt>
                <c:pt idx="133">
                  <c:v>7.54295974614902</c:v>
                </c:pt>
                <c:pt idx="134">
                  <c:v>7.54610373532354</c:v>
                </c:pt>
                <c:pt idx="135">
                  <c:v>7.54885976696701</c:v>
                </c:pt>
                <c:pt idx="136">
                  <c:v>7.55123240387156</c:v>
                </c:pt>
                <c:pt idx="137">
                  <c:v>7.5532262031384</c:v>
                </c:pt>
                <c:pt idx="138">
                  <c:v>7.55484571485808</c:v>
                </c:pt>
                <c:pt idx="139">
                  <c:v>7.5560954808351</c:v>
                </c:pt>
                <c:pt idx="140">
                  <c:v>7.55698003335612</c:v>
                </c:pt>
                <c:pt idx="141">
                  <c:v>7.55750389400085</c:v>
                </c:pt>
                <c:pt idx="142">
                  <c:v>7.55767157249467</c:v>
                </c:pt>
                <c:pt idx="143">
                  <c:v>7.55748756560212</c:v>
                </c:pt>
                <c:pt idx="144">
                  <c:v>7.55695635606052</c:v>
                </c:pt>
                <c:pt idx="145">
                  <c:v>7.55608241155264</c:v>
                </c:pt>
                <c:pt idx="146">
                  <c:v>7.55487018371772</c:v>
                </c:pt>
                <c:pt idx="147">
                  <c:v>7.55332410719987</c:v>
                </c:pt>
                <c:pt idx="148">
                  <c:v>7.55144859873327</c:v>
                </c:pt>
                <c:pt idx="149">
                  <c:v>7.54924805626287</c:v>
                </c:pt>
                <c:pt idx="150">
                  <c:v>7.54672685810035</c:v>
                </c:pt>
                <c:pt idx="151">
                  <c:v>7.54388936211402</c:v>
                </c:pt>
                <c:pt idx="152">
                  <c:v>7.54073990495214</c:v>
                </c:pt>
                <c:pt idx="153">
                  <c:v>7.53728280129887</c:v>
                </c:pt>
                <c:pt idx="154">
                  <c:v>7.53352234316191</c:v>
                </c:pt>
                <c:pt idx="155">
                  <c:v>7.52946279919119</c:v>
                </c:pt>
                <c:pt idx="156">
                  <c:v>7.52510841402786</c:v>
                </c:pt>
                <c:pt idx="157">
                  <c:v>7.52046340768277</c:v>
                </c:pt>
                <c:pt idx="158">
                  <c:v>7.51553197494362</c:v>
                </c:pt>
                <c:pt idx="159">
                  <c:v>7.51031828481038</c:v>
                </c:pt>
                <c:pt idx="160">
                  <c:v>7.50482647995786</c:v>
                </c:pt>
                <c:pt idx="161">
                  <c:v>7.49906067622497</c:v>
                </c:pt>
                <c:pt idx="162">
                  <c:v>7.49302496213</c:v>
                </c:pt>
                <c:pt idx="163">
                  <c:v>7.48672339841107</c:v>
                </c:pt>
                <c:pt idx="164">
                  <c:v>7.48016001759119</c:v>
                </c:pt>
                <c:pt idx="165">
                  <c:v>7.47333882356737</c:v>
                </c:pt>
                <c:pt idx="166">
                  <c:v>7.46626379122287</c:v>
                </c:pt>
                <c:pt idx="167">
                  <c:v>7.45893886606223</c:v>
                </c:pt>
                <c:pt idx="168">
                  <c:v>7.45136796386831</c:v>
                </c:pt>
                <c:pt idx="169">
                  <c:v>7.44355497038077</c:v>
                </c:pt>
                <c:pt idx="170">
                  <c:v>7.43550374099532</c:v>
                </c:pt>
                <c:pt idx="171">
                  <c:v>7.42721810048332</c:v>
                </c:pt>
                <c:pt idx="172">
                  <c:v>7.41870184273095</c:v>
                </c:pt>
                <c:pt idx="173">
                  <c:v>7.40995873049759</c:v>
                </c:pt>
                <c:pt idx="174">
                  <c:v>7.40099249519261</c:v>
                </c:pt>
                <c:pt idx="175">
                  <c:v>7.39180683667027</c:v>
                </c:pt>
                <c:pt idx="176">
                  <c:v>7.38240542304207</c:v>
                </c:pt>
                <c:pt idx="177">
                  <c:v>7.37279189050601</c:v>
                </c:pt>
                <c:pt idx="178">
                  <c:v>7.36296984319233</c:v>
                </c:pt>
                <c:pt idx="179">
                  <c:v>7.35294285302515</c:v>
                </c:pt>
                <c:pt idx="180">
                  <c:v>7.34271445959959</c:v>
                </c:pt>
                <c:pt idx="181">
                  <c:v>7.33228817007387</c:v>
                </c:pt>
                <c:pt idx="182">
                  <c:v>7.32166745907581</c:v>
                </c:pt>
                <c:pt idx="183">
                  <c:v>7.3108557686235</c:v>
                </c:pt>
                <c:pt idx="184">
                  <c:v>7.2998565080595</c:v>
                </c:pt>
                <c:pt idx="185">
                  <c:v>7.28867305399815</c:v>
                </c:pt>
                <c:pt idx="186">
                  <c:v>7.27730875028561</c:v>
                </c:pt>
                <c:pt idx="187">
                  <c:v>7.26576690797234</c:v>
                </c:pt>
                <c:pt idx="188">
                  <c:v>7.25405080529722</c:v>
                </c:pt>
                <c:pt idx="189">
                  <c:v>7.2421636876834</c:v>
                </c:pt>
                <c:pt idx="190">
                  <c:v>7.23010876774508</c:v>
                </c:pt>
                <c:pt idx="191">
                  <c:v>7.21788922530508</c:v>
                </c:pt>
                <c:pt idx="192">
                  <c:v>7.20550820742275</c:v>
                </c:pt>
                <c:pt idx="193">
                  <c:v>7.19296882843185</c:v>
                </c:pt>
                <c:pt idx="194">
                  <c:v>7.180274169988</c:v>
                </c:pt>
                <c:pt idx="195">
                  <c:v>7.16742728112546</c:v>
                </c:pt>
                <c:pt idx="196">
                  <c:v>7.15443117832287</c:v>
                </c:pt>
                <c:pt idx="197">
                  <c:v>7.14128884557749</c:v>
                </c:pt>
                <c:pt idx="198">
                  <c:v>7.12800323448782</c:v>
                </c:pt>
                <c:pt idx="199">
                  <c:v>7.11457726434413</c:v>
                </c:pt>
                <c:pt idx="200">
                  <c:v>7.10101382222668</c:v>
                </c:pt>
                <c:pt idx="201">
                  <c:v>7.08731576311123</c:v>
                </c:pt>
                <c:pt idx="202">
                  <c:v>7.07348590998178</c:v>
                </c:pt>
                <c:pt idx="203">
                  <c:v>7.05952705394989</c:v>
                </c:pt>
                <c:pt idx="204">
                  <c:v>7.04544195438062</c:v>
                </c:pt>
                <c:pt idx="205">
                  <c:v>7.03123333902475</c:v>
                </c:pt>
                <c:pt idx="206">
                  <c:v>7.01690390415688</c:v>
                </c:pt>
                <c:pt idx="207">
                  <c:v>7.00245631471927</c:v>
                </c:pt>
                <c:pt idx="208">
                  <c:v>6.98789320447125</c:v>
                </c:pt>
                <c:pt idx="209">
                  <c:v>6.9732171761437</c:v>
                </c:pt>
                <c:pt idx="210">
                  <c:v>6.95843080159866</c:v>
                </c:pt>
                <c:pt idx="211">
                  <c:v>6.94353662199368</c:v>
                </c:pt>
                <c:pt idx="212">
                  <c:v>6.92853714795061</c:v>
                </c:pt>
                <c:pt idx="213">
                  <c:v>6.91343485972887</c:v>
                </c:pt>
                <c:pt idx="214">
                  <c:v>6.89823220740274</c:v>
                </c:pt>
                <c:pt idx="215">
                  <c:v>6.88293161104259</c:v>
                </c:pt>
                <c:pt idx="216">
                  <c:v>6.8675354608998</c:v>
                </c:pt>
                <c:pt idx="217">
                  <c:v>6.85204611759522</c:v>
                </c:pt>
                <c:pt idx="218">
                  <c:v>6.83646591231101</c:v>
                </c:pt>
                <c:pt idx="219">
                  <c:v>6.82079714698548</c:v>
                </c:pt>
                <c:pt idx="220">
                  <c:v>6.80504209451111</c:v>
                </c:pt>
                <c:pt idx="221">
                  <c:v>6.78920299893516</c:v>
                </c:pt>
                <c:pt idx="222">
                  <c:v>6.77328207566309</c:v>
                </c:pt>
                <c:pt idx="223">
                  <c:v>6.75728151166431</c:v>
                </c:pt>
                <c:pt idx="224">
                  <c:v>6.74120346568039</c:v>
                </c:pt>
                <c:pt idx="225">
                  <c:v>6.72505006843525</c:v>
                </c:pt>
                <c:pt idx="226">
                  <c:v>6.70882342284754</c:v>
                </c:pt>
                <c:pt idx="227">
                  <c:v>6.69252560424479</c:v>
                </c:pt>
                <c:pt idx="228">
                  <c:v>6.67615866057931</c:v>
                </c:pt>
                <c:pt idx="229">
                  <c:v>6.65972461264572</c:v>
                </c:pt>
                <c:pt idx="230">
                  <c:v>6.64322545429989</c:v>
                </c:pt>
                <c:pt idx="231">
                  <c:v>6.62666315267926</c:v>
                </c:pt>
                <c:pt idx="232">
                  <c:v>6.61003964842439</c:v>
                </c:pt>
                <c:pt idx="233">
                  <c:v>6.59335685590158</c:v>
                </c:pt>
                <c:pt idx="234">
                  <c:v>6.57661666342649</c:v>
                </c:pt>
                <c:pt idx="235">
                  <c:v>6.55982093348864</c:v>
                </c:pt>
                <c:pt idx="236">
                  <c:v>6.54297150297663</c:v>
                </c:pt>
                <c:pt idx="237">
                  <c:v>6.52607018340414</c:v>
                </c:pt>
                <c:pt idx="238">
                  <c:v>6.50911876113637</c:v>
                </c:pt>
                <c:pt idx="239">
                  <c:v>6.49211899761699</c:v>
                </c:pt>
                <c:pt idx="240">
                  <c:v>6.47507262959551</c:v>
                </c:pt>
                <c:pt idx="241">
                  <c:v>6.45798136935488</c:v>
                </c:pt>
                <c:pt idx="242">
                  <c:v>6.44084690493929</c:v>
                </c:pt>
                <c:pt idx="243">
                  <c:v>6.42367090038212</c:v>
                </c:pt>
                <c:pt idx="244">
                  <c:v>6.40645499593389</c:v>
                </c:pt>
                <c:pt idx="245">
                  <c:v>6.38920080829017</c:v>
                </c:pt>
                <c:pt idx="246">
                  <c:v>6.37190993081936</c:v>
                </c:pt>
                <c:pt idx="247">
                  <c:v>6.35458393379032</c:v>
                </c:pt>
                <c:pt idx="248">
                  <c:v>6.33722436459968</c:v>
                </c:pt>
                <c:pt idx="249">
                  <c:v>6.31983274799882</c:v>
                </c:pt>
                <c:pt idx="250">
                  <c:v>6.30241058632052</c:v>
                </c:pt>
                <c:pt idx="251">
                  <c:v>6.28495935970509</c:v>
                </c:pt>
                <c:pt idx="252">
                  <c:v>6.26748052632599</c:v>
                </c:pt>
                <c:pt idx="253">
                  <c:v>6.24997552261487</c:v>
                </c:pt>
                <c:pt idx="254">
                  <c:v>6.23244576348603</c:v>
                </c:pt>
                <c:pt idx="255">
                  <c:v>6.21489264256011</c:v>
                </c:pt>
                <c:pt idx="256">
                  <c:v>6.19731753238712</c:v>
                </c:pt>
                <c:pt idx="257">
                  <c:v>6.17972178466866</c:v>
                </c:pt>
                <c:pt idx="258">
                  <c:v>6.16210673047925</c:v>
                </c:pt>
                <c:pt idx="259">
                  <c:v>6.14447368048696</c:v>
                </c:pt>
                <c:pt idx="260">
                  <c:v>6.12682392517284</c:v>
                </c:pt>
                <c:pt idx="261">
                  <c:v>6.10915873504969</c:v>
                </c:pt>
                <c:pt idx="262">
                  <c:v>6.0914793608796</c:v>
                </c:pt>
                <c:pt idx="263">
                  <c:v>6.07378703389059</c:v>
                </c:pt>
                <c:pt idx="264">
                  <c:v>6.05608296599213</c:v>
                </c:pt>
                <c:pt idx="265">
                  <c:v>6.03836834998951</c:v>
                </c:pt>
                <c:pt idx="266">
                  <c:v>6.0206443597972</c:v>
                </c:pt>
                <c:pt idx="267">
                  <c:v>6.00291215065087</c:v>
                </c:pt>
                <c:pt idx="268">
                  <c:v>5.98517285931835</c:v>
                </c:pt>
                <c:pt idx="269">
                  <c:v>5.96742760430931</c:v>
                </c:pt>
                <c:pt idx="270">
                  <c:v>5.94967748608363</c:v>
                </c:pt>
                <c:pt idx="271">
                  <c:v>5.93192358725864</c:v>
                </c:pt>
                <c:pt idx="272">
                  <c:v>5.9141669728149</c:v>
                </c:pt>
                <c:pt idx="273">
                  <c:v>5.89640869030071</c:v>
                </c:pt>
                <c:pt idx="274">
                  <c:v>5.87864977003538</c:v>
                </c:pt>
                <c:pt idx="275">
                  <c:v>5.86089122531089</c:v>
                </c:pt>
                <c:pt idx="276">
                  <c:v>5.84313405259248</c:v>
                </c:pt>
                <c:pt idx="277">
                  <c:v>5.82537923171754</c:v>
                </c:pt>
                <c:pt idx="278">
                  <c:v>5.80762772609328</c:v>
                </c:pt>
                <c:pt idx="279">
                  <c:v>5.78988048289289</c:v>
                </c:pt>
                <c:pt idx="280">
                  <c:v>5.77213843325027</c:v>
                </c:pt>
                <c:pt idx="281">
                  <c:v>5.75440249245327</c:v>
                </c:pt>
                <c:pt idx="282">
                  <c:v>5.73667356013549</c:v>
                </c:pt>
                <c:pt idx="283">
                  <c:v>5.7189525204666</c:v>
                </c:pt>
                <c:pt idx="284">
                  <c:v>5.70124024234111</c:v>
                </c:pt>
                <c:pt idx="285">
                  <c:v>5.68353757956571</c:v>
                </c:pt>
                <c:pt idx="286">
                  <c:v>5.66584537104505</c:v>
                </c:pt>
                <c:pt idx="287">
                  <c:v>5.64816444096598</c:v>
                </c:pt>
                <c:pt idx="288">
                  <c:v>5.63049559898033</c:v>
                </c:pt>
                <c:pt idx="289">
                  <c:v>5.61283964038609</c:v>
                </c:pt>
                <c:pt idx="290">
                  <c:v>5.59519734630708</c:v>
                </c:pt>
                <c:pt idx="291">
                  <c:v>5.57756948387107</c:v>
                </c:pt>
                <c:pt idx="292">
                  <c:v>5.55995680638637</c:v>
                </c:pt>
                <c:pt idx="293">
                  <c:v>5.54236005351681</c:v>
                </c:pt>
                <c:pt idx="294">
                  <c:v>5.52477995145524</c:v>
                </c:pt>
                <c:pt idx="295">
                  <c:v>5.50721721309543</c:v>
                </c:pt>
                <c:pt idx="296">
                  <c:v>5.48967253820239</c:v>
                </c:pt>
                <c:pt idx="297">
                  <c:v>5.47214661358119</c:v>
                </c:pt>
                <c:pt idx="298">
                  <c:v>5.45464011324422</c:v>
                </c:pt>
                <c:pt idx="299">
                  <c:v>5.43715369857675</c:v>
                </c:pt>
                <c:pt idx="300">
                  <c:v>5.41968801850118</c:v>
                </c:pt>
                <c:pt idx="301">
                  <c:v>5.40224370963948</c:v>
                </c:pt>
                <c:pt idx="302">
                  <c:v>5.38482139647426</c:v>
                </c:pt>
                <c:pt idx="303">
                  <c:v>5.36742169150819</c:v>
                </c:pt>
                <c:pt idx="304">
                  <c:v>5.35004519542187</c:v>
                </c:pt>
                <c:pt idx="305">
                  <c:v>5.33269249723023</c:v>
                </c:pt>
                <c:pt idx="306">
                  <c:v>5.31536417443728</c:v>
                </c:pt>
                <c:pt idx="307">
                  <c:v>5.2980607931894</c:v>
                </c:pt>
                <c:pt idx="308">
                  <c:v>5.28078290842703</c:v>
                </c:pt>
                <c:pt idx="309">
                  <c:v>5.26353106403495</c:v>
                </c:pt>
                <c:pt idx="310">
                  <c:v>5.24630579299082</c:v>
                </c:pt>
                <c:pt idx="311">
                  <c:v>5.22910761751244</c:v>
                </c:pt>
                <c:pt idx="312">
                  <c:v>5.21193704920331</c:v>
                </c:pt>
                <c:pt idx="313">
                  <c:v>5.19479458919679</c:v>
                </c:pt>
                <c:pt idx="314">
                  <c:v>5.17768072829868</c:v>
                </c:pt>
                <c:pt idx="315">
                  <c:v>5.16059594712838</c:v>
                </c:pt>
                <c:pt idx="316">
                  <c:v>5.1435407162585</c:v>
                </c:pt>
                <c:pt idx="317">
                  <c:v>5.12651549635302</c:v>
                </c:pt>
                <c:pt idx="318">
                  <c:v>5.10952073830394</c:v>
                </c:pt>
                <c:pt idx="319">
                  <c:v>5.09255688336649</c:v>
                </c:pt>
                <c:pt idx="320">
                  <c:v>5.07562436329293</c:v>
                </c:pt>
              </c:numCache>
            </c:numRef>
          </c:yVal>
          <c:smooth val="0"/>
        </c:ser>
        <c:axId val="19191217"/>
        <c:axId val="16478523"/>
      </c:scatterChart>
      <c:valAx>
        <c:axId val="19191217"/>
        <c:scaling>
          <c:orientation val="minMax"/>
          <c:max val="1000"/>
          <c:min val="36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wavelength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78523"/>
        <c:crosses val="autoZero"/>
        <c:crossBetween val="midCat"/>
      </c:valAx>
      <c:valAx>
        <c:axId val="16478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 [1e12 W m^-3 sr^-1]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912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Ionised fraction of hydrogen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"ionised fraction"</c:f>
              <c:strCache>
                <c:ptCount val="1"/>
                <c:pt idx="0">
                  <c:v>ionised fraction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'SA1 Saha-Boltzmann'!$E$18:$E$288</c:f>
              <c:numCache>
                <c:formatCode>0</c:formatCode>
                <c:ptCount val="271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  <c:pt idx="9">
                  <c:v>3900</c:v>
                </c:pt>
                <c:pt idx="10">
                  <c:v>4000</c:v>
                </c:pt>
                <c:pt idx="11">
                  <c:v>4100</c:v>
                </c:pt>
                <c:pt idx="12">
                  <c:v>4200</c:v>
                </c:pt>
                <c:pt idx="13">
                  <c:v>4300</c:v>
                </c:pt>
                <c:pt idx="14">
                  <c:v>4400</c:v>
                </c:pt>
                <c:pt idx="15">
                  <c:v>4500</c:v>
                </c:pt>
                <c:pt idx="16">
                  <c:v>4600</c:v>
                </c:pt>
                <c:pt idx="17">
                  <c:v>4700</c:v>
                </c:pt>
                <c:pt idx="18">
                  <c:v>4800</c:v>
                </c:pt>
                <c:pt idx="19">
                  <c:v>4900</c:v>
                </c:pt>
                <c:pt idx="20">
                  <c:v>5000</c:v>
                </c:pt>
                <c:pt idx="21">
                  <c:v>5100</c:v>
                </c:pt>
                <c:pt idx="22">
                  <c:v>5200</c:v>
                </c:pt>
                <c:pt idx="23">
                  <c:v>5300</c:v>
                </c:pt>
                <c:pt idx="24">
                  <c:v>5400</c:v>
                </c:pt>
                <c:pt idx="25">
                  <c:v>5500</c:v>
                </c:pt>
                <c:pt idx="26">
                  <c:v>5600</c:v>
                </c:pt>
                <c:pt idx="27">
                  <c:v>5700</c:v>
                </c:pt>
                <c:pt idx="28">
                  <c:v>5800</c:v>
                </c:pt>
                <c:pt idx="29">
                  <c:v>5900</c:v>
                </c:pt>
                <c:pt idx="30">
                  <c:v>6000</c:v>
                </c:pt>
                <c:pt idx="31">
                  <c:v>6100</c:v>
                </c:pt>
                <c:pt idx="32">
                  <c:v>6200</c:v>
                </c:pt>
                <c:pt idx="33">
                  <c:v>6300</c:v>
                </c:pt>
                <c:pt idx="34">
                  <c:v>6400</c:v>
                </c:pt>
                <c:pt idx="35">
                  <c:v>6500</c:v>
                </c:pt>
                <c:pt idx="36">
                  <c:v>6600</c:v>
                </c:pt>
                <c:pt idx="37">
                  <c:v>6700</c:v>
                </c:pt>
                <c:pt idx="38">
                  <c:v>6800</c:v>
                </c:pt>
                <c:pt idx="39">
                  <c:v>6900</c:v>
                </c:pt>
                <c:pt idx="40">
                  <c:v>7000</c:v>
                </c:pt>
                <c:pt idx="41">
                  <c:v>7100</c:v>
                </c:pt>
                <c:pt idx="42">
                  <c:v>7200</c:v>
                </c:pt>
                <c:pt idx="43">
                  <c:v>7300</c:v>
                </c:pt>
                <c:pt idx="44">
                  <c:v>7400</c:v>
                </c:pt>
                <c:pt idx="45">
                  <c:v>7500</c:v>
                </c:pt>
                <c:pt idx="46">
                  <c:v>7600</c:v>
                </c:pt>
                <c:pt idx="47">
                  <c:v>7700</c:v>
                </c:pt>
                <c:pt idx="48">
                  <c:v>7800</c:v>
                </c:pt>
                <c:pt idx="49">
                  <c:v>7900</c:v>
                </c:pt>
                <c:pt idx="50">
                  <c:v>8000</c:v>
                </c:pt>
                <c:pt idx="51">
                  <c:v>8100</c:v>
                </c:pt>
                <c:pt idx="52">
                  <c:v>8200</c:v>
                </c:pt>
                <c:pt idx="53">
                  <c:v>8300</c:v>
                </c:pt>
                <c:pt idx="54">
                  <c:v>8400</c:v>
                </c:pt>
                <c:pt idx="55">
                  <c:v>8500</c:v>
                </c:pt>
                <c:pt idx="56">
                  <c:v>8600</c:v>
                </c:pt>
                <c:pt idx="57">
                  <c:v>8700</c:v>
                </c:pt>
                <c:pt idx="58">
                  <c:v>8800</c:v>
                </c:pt>
                <c:pt idx="59">
                  <c:v>8900</c:v>
                </c:pt>
                <c:pt idx="60">
                  <c:v>9000</c:v>
                </c:pt>
                <c:pt idx="61">
                  <c:v>9100</c:v>
                </c:pt>
                <c:pt idx="62">
                  <c:v>9200</c:v>
                </c:pt>
                <c:pt idx="63">
                  <c:v>9300</c:v>
                </c:pt>
                <c:pt idx="64">
                  <c:v>9400</c:v>
                </c:pt>
                <c:pt idx="65">
                  <c:v>9500</c:v>
                </c:pt>
                <c:pt idx="66">
                  <c:v>9600</c:v>
                </c:pt>
                <c:pt idx="67">
                  <c:v>9700</c:v>
                </c:pt>
                <c:pt idx="68">
                  <c:v>9800</c:v>
                </c:pt>
                <c:pt idx="69">
                  <c:v>9900</c:v>
                </c:pt>
                <c:pt idx="70">
                  <c:v>10000</c:v>
                </c:pt>
                <c:pt idx="71">
                  <c:v>10100</c:v>
                </c:pt>
                <c:pt idx="72">
                  <c:v>10200</c:v>
                </c:pt>
                <c:pt idx="73">
                  <c:v>10300</c:v>
                </c:pt>
                <c:pt idx="74">
                  <c:v>10400</c:v>
                </c:pt>
                <c:pt idx="75">
                  <c:v>10500</c:v>
                </c:pt>
                <c:pt idx="76">
                  <c:v>10600</c:v>
                </c:pt>
                <c:pt idx="77">
                  <c:v>10700</c:v>
                </c:pt>
                <c:pt idx="78">
                  <c:v>10800</c:v>
                </c:pt>
                <c:pt idx="79">
                  <c:v>10900</c:v>
                </c:pt>
                <c:pt idx="80">
                  <c:v>11000</c:v>
                </c:pt>
                <c:pt idx="81">
                  <c:v>11100</c:v>
                </c:pt>
                <c:pt idx="82">
                  <c:v>11200</c:v>
                </c:pt>
                <c:pt idx="83">
                  <c:v>11300</c:v>
                </c:pt>
                <c:pt idx="84">
                  <c:v>11400</c:v>
                </c:pt>
                <c:pt idx="85">
                  <c:v>11500</c:v>
                </c:pt>
                <c:pt idx="86">
                  <c:v>11600</c:v>
                </c:pt>
                <c:pt idx="87">
                  <c:v>11700</c:v>
                </c:pt>
                <c:pt idx="88">
                  <c:v>11800</c:v>
                </c:pt>
                <c:pt idx="89">
                  <c:v>11900</c:v>
                </c:pt>
                <c:pt idx="90">
                  <c:v>12000</c:v>
                </c:pt>
                <c:pt idx="91">
                  <c:v>12100</c:v>
                </c:pt>
                <c:pt idx="92">
                  <c:v>12200</c:v>
                </c:pt>
                <c:pt idx="93">
                  <c:v>12300</c:v>
                </c:pt>
                <c:pt idx="94">
                  <c:v>12400</c:v>
                </c:pt>
                <c:pt idx="95">
                  <c:v>12500</c:v>
                </c:pt>
                <c:pt idx="96">
                  <c:v>12600</c:v>
                </c:pt>
                <c:pt idx="97">
                  <c:v>12700</c:v>
                </c:pt>
                <c:pt idx="98">
                  <c:v>12800</c:v>
                </c:pt>
                <c:pt idx="99">
                  <c:v>12900</c:v>
                </c:pt>
                <c:pt idx="100">
                  <c:v>13000</c:v>
                </c:pt>
                <c:pt idx="101">
                  <c:v>13100</c:v>
                </c:pt>
                <c:pt idx="102">
                  <c:v>13200</c:v>
                </c:pt>
                <c:pt idx="103">
                  <c:v>13300</c:v>
                </c:pt>
                <c:pt idx="104">
                  <c:v>13400</c:v>
                </c:pt>
                <c:pt idx="105">
                  <c:v>13500</c:v>
                </c:pt>
                <c:pt idx="106">
                  <c:v>13600</c:v>
                </c:pt>
                <c:pt idx="107">
                  <c:v>13700</c:v>
                </c:pt>
                <c:pt idx="108">
                  <c:v>13800</c:v>
                </c:pt>
                <c:pt idx="109">
                  <c:v>13900</c:v>
                </c:pt>
                <c:pt idx="110">
                  <c:v>14000</c:v>
                </c:pt>
                <c:pt idx="111">
                  <c:v>14100</c:v>
                </c:pt>
                <c:pt idx="112">
                  <c:v>14200</c:v>
                </c:pt>
                <c:pt idx="113">
                  <c:v>14300</c:v>
                </c:pt>
                <c:pt idx="114">
                  <c:v>14400</c:v>
                </c:pt>
                <c:pt idx="115">
                  <c:v>14500</c:v>
                </c:pt>
                <c:pt idx="116">
                  <c:v>14600</c:v>
                </c:pt>
                <c:pt idx="117">
                  <c:v>14700</c:v>
                </c:pt>
                <c:pt idx="118">
                  <c:v>14800</c:v>
                </c:pt>
                <c:pt idx="119">
                  <c:v>14900</c:v>
                </c:pt>
                <c:pt idx="120">
                  <c:v>15000</c:v>
                </c:pt>
                <c:pt idx="121">
                  <c:v>15100</c:v>
                </c:pt>
                <c:pt idx="122">
                  <c:v>15200</c:v>
                </c:pt>
                <c:pt idx="123">
                  <c:v>15300</c:v>
                </c:pt>
                <c:pt idx="124">
                  <c:v>15400</c:v>
                </c:pt>
                <c:pt idx="125">
                  <c:v>15500</c:v>
                </c:pt>
                <c:pt idx="126">
                  <c:v>15600</c:v>
                </c:pt>
                <c:pt idx="127">
                  <c:v>15700</c:v>
                </c:pt>
                <c:pt idx="128">
                  <c:v>15800</c:v>
                </c:pt>
                <c:pt idx="129">
                  <c:v>15900</c:v>
                </c:pt>
                <c:pt idx="130">
                  <c:v>16000</c:v>
                </c:pt>
                <c:pt idx="131">
                  <c:v>16100</c:v>
                </c:pt>
                <c:pt idx="132">
                  <c:v>16200</c:v>
                </c:pt>
                <c:pt idx="133">
                  <c:v>16300</c:v>
                </c:pt>
                <c:pt idx="134">
                  <c:v>16400</c:v>
                </c:pt>
                <c:pt idx="135">
                  <c:v>16500</c:v>
                </c:pt>
                <c:pt idx="136">
                  <c:v>16600</c:v>
                </c:pt>
                <c:pt idx="137">
                  <c:v>16700</c:v>
                </c:pt>
                <c:pt idx="138">
                  <c:v>16800</c:v>
                </c:pt>
                <c:pt idx="139">
                  <c:v>16900</c:v>
                </c:pt>
                <c:pt idx="140">
                  <c:v>17000</c:v>
                </c:pt>
                <c:pt idx="141">
                  <c:v>17100</c:v>
                </c:pt>
                <c:pt idx="142">
                  <c:v>17200</c:v>
                </c:pt>
                <c:pt idx="143">
                  <c:v>17300</c:v>
                </c:pt>
                <c:pt idx="144">
                  <c:v>17400</c:v>
                </c:pt>
                <c:pt idx="145">
                  <c:v>17500</c:v>
                </c:pt>
                <c:pt idx="146">
                  <c:v>17600</c:v>
                </c:pt>
                <c:pt idx="147">
                  <c:v>17700</c:v>
                </c:pt>
                <c:pt idx="148">
                  <c:v>17800</c:v>
                </c:pt>
                <c:pt idx="149">
                  <c:v>17900</c:v>
                </c:pt>
                <c:pt idx="150">
                  <c:v>18000</c:v>
                </c:pt>
                <c:pt idx="151">
                  <c:v>18100</c:v>
                </c:pt>
                <c:pt idx="152">
                  <c:v>18200</c:v>
                </c:pt>
                <c:pt idx="153">
                  <c:v>18300</c:v>
                </c:pt>
                <c:pt idx="154">
                  <c:v>18400</c:v>
                </c:pt>
                <c:pt idx="155">
                  <c:v>18500</c:v>
                </c:pt>
                <c:pt idx="156">
                  <c:v>18600</c:v>
                </c:pt>
                <c:pt idx="157">
                  <c:v>18700</c:v>
                </c:pt>
                <c:pt idx="158">
                  <c:v>18800</c:v>
                </c:pt>
                <c:pt idx="159">
                  <c:v>18900</c:v>
                </c:pt>
                <c:pt idx="160">
                  <c:v>19000</c:v>
                </c:pt>
                <c:pt idx="161">
                  <c:v>19100</c:v>
                </c:pt>
                <c:pt idx="162">
                  <c:v>19200</c:v>
                </c:pt>
                <c:pt idx="163">
                  <c:v>19300</c:v>
                </c:pt>
                <c:pt idx="164">
                  <c:v>19400</c:v>
                </c:pt>
                <c:pt idx="165">
                  <c:v>19500</c:v>
                </c:pt>
                <c:pt idx="166">
                  <c:v>19600</c:v>
                </c:pt>
                <c:pt idx="167">
                  <c:v>19700</c:v>
                </c:pt>
                <c:pt idx="168">
                  <c:v>19800</c:v>
                </c:pt>
                <c:pt idx="169">
                  <c:v>19900</c:v>
                </c:pt>
                <c:pt idx="170">
                  <c:v>20000</c:v>
                </c:pt>
                <c:pt idx="171">
                  <c:v>20100</c:v>
                </c:pt>
                <c:pt idx="172">
                  <c:v>20200</c:v>
                </c:pt>
                <c:pt idx="173">
                  <c:v>20300</c:v>
                </c:pt>
                <c:pt idx="174">
                  <c:v>20400</c:v>
                </c:pt>
                <c:pt idx="175">
                  <c:v>20500</c:v>
                </c:pt>
                <c:pt idx="176">
                  <c:v>20600</c:v>
                </c:pt>
                <c:pt idx="177">
                  <c:v>20700</c:v>
                </c:pt>
                <c:pt idx="178">
                  <c:v>20800</c:v>
                </c:pt>
                <c:pt idx="179">
                  <c:v>20900</c:v>
                </c:pt>
                <c:pt idx="180">
                  <c:v>21000</c:v>
                </c:pt>
                <c:pt idx="181">
                  <c:v>21100</c:v>
                </c:pt>
                <c:pt idx="182">
                  <c:v>21200</c:v>
                </c:pt>
                <c:pt idx="183">
                  <c:v>21300</c:v>
                </c:pt>
                <c:pt idx="184">
                  <c:v>21400</c:v>
                </c:pt>
                <c:pt idx="185">
                  <c:v>21500</c:v>
                </c:pt>
                <c:pt idx="186">
                  <c:v>21600</c:v>
                </c:pt>
                <c:pt idx="187">
                  <c:v>21700</c:v>
                </c:pt>
                <c:pt idx="188">
                  <c:v>21800</c:v>
                </c:pt>
                <c:pt idx="189">
                  <c:v>21900</c:v>
                </c:pt>
                <c:pt idx="190">
                  <c:v>22000</c:v>
                </c:pt>
                <c:pt idx="191">
                  <c:v>22100</c:v>
                </c:pt>
                <c:pt idx="192">
                  <c:v>22200</c:v>
                </c:pt>
                <c:pt idx="193">
                  <c:v>22300</c:v>
                </c:pt>
                <c:pt idx="194">
                  <c:v>22400</c:v>
                </c:pt>
                <c:pt idx="195">
                  <c:v>22500</c:v>
                </c:pt>
                <c:pt idx="196">
                  <c:v>22600</c:v>
                </c:pt>
                <c:pt idx="197">
                  <c:v>22700</c:v>
                </c:pt>
                <c:pt idx="198">
                  <c:v>22800</c:v>
                </c:pt>
                <c:pt idx="199">
                  <c:v>22900</c:v>
                </c:pt>
                <c:pt idx="200">
                  <c:v>23000</c:v>
                </c:pt>
                <c:pt idx="201">
                  <c:v>23100</c:v>
                </c:pt>
                <c:pt idx="202">
                  <c:v>23200</c:v>
                </c:pt>
                <c:pt idx="203">
                  <c:v>23300</c:v>
                </c:pt>
                <c:pt idx="204">
                  <c:v>23400</c:v>
                </c:pt>
                <c:pt idx="205">
                  <c:v>23500</c:v>
                </c:pt>
                <c:pt idx="206">
                  <c:v>23600</c:v>
                </c:pt>
                <c:pt idx="207">
                  <c:v>23700</c:v>
                </c:pt>
                <c:pt idx="208">
                  <c:v>23800</c:v>
                </c:pt>
                <c:pt idx="209">
                  <c:v>23900</c:v>
                </c:pt>
                <c:pt idx="210">
                  <c:v>24000</c:v>
                </c:pt>
                <c:pt idx="211">
                  <c:v>24100</c:v>
                </c:pt>
                <c:pt idx="212">
                  <c:v>24200</c:v>
                </c:pt>
                <c:pt idx="213">
                  <c:v>24300</c:v>
                </c:pt>
                <c:pt idx="214">
                  <c:v>24400</c:v>
                </c:pt>
                <c:pt idx="215">
                  <c:v>24500</c:v>
                </c:pt>
                <c:pt idx="216">
                  <c:v>24600</c:v>
                </c:pt>
                <c:pt idx="217">
                  <c:v>24700</c:v>
                </c:pt>
                <c:pt idx="218">
                  <c:v>24800</c:v>
                </c:pt>
                <c:pt idx="219">
                  <c:v>24900</c:v>
                </c:pt>
                <c:pt idx="220">
                  <c:v>25000</c:v>
                </c:pt>
                <c:pt idx="221">
                  <c:v>25100</c:v>
                </c:pt>
                <c:pt idx="222">
                  <c:v>25200</c:v>
                </c:pt>
                <c:pt idx="223">
                  <c:v>25300</c:v>
                </c:pt>
                <c:pt idx="224">
                  <c:v>25400</c:v>
                </c:pt>
                <c:pt idx="225">
                  <c:v>25500</c:v>
                </c:pt>
                <c:pt idx="226">
                  <c:v>25600</c:v>
                </c:pt>
                <c:pt idx="227">
                  <c:v>25700</c:v>
                </c:pt>
                <c:pt idx="228">
                  <c:v>25800</c:v>
                </c:pt>
                <c:pt idx="229">
                  <c:v>25900</c:v>
                </c:pt>
                <c:pt idx="230">
                  <c:v>26000</c:v>
                </c:pt>
                <c:pt idx="231">
                  <c:v>26100</c:v>
                </c:pt>
                <c:pt idx="232">
                  <c:v>26200</c:v>
                </c:pt>
                <c:pt idx="233">
                  <c:v>26300</c:v>
                </c:pt>
                <c:pt idx="234">
                  <c:v>26400</c:v>
                </c:pt>
                <c:pt idx="235">
                  <c:v>26500</c:v>
                </c:pt>
                <c:pt idx="236">
                  <c:v>26600</c:v>
                </c:pt>
                <c:pt idx="237">
                  <c:v>26700</c:v>
                </c:pt>
                <c:pt idx="238">
                  <c:v>26800</c:v>
                </c:pt>
                <c:pt idx="239">
                  <c:v>26900</c:v>
                </c:pt>
                <c:pt idx="240">
                  <c:v>27000</c:v>
                </c:pt>
                <c:pt idx="241">
                  <c:v>27100</c:v>
                </c:pt>
                <c:pt idx="242">
                  <c:v>27200</c:v>
                </c:pt>
                <c:pt idx="243">
                  <c:v>27300</c:v>
                </c:pt>
                <c:pt idx="244">
                  <c:v>27400</c:v>
                </c:pt>
                <c:pt idx="245">
                  <c:v>27500</c:v>
                </c:pt>
                <c:pt idx="246">
                  <c:v>27600</c:v>
                </c:pt>
                <c:pt idx="247">
                  <c:v>27700</c:v>
                </c:pt>
                <c:pt idx="248">
                  <c:v>27800</c:v>
                </c:pt>
                <c:pt idx="249">
                  <c:v>27900</c:v>
                </c:pt>
                <c:pt idx="250">
                  <c:v>28000</c:v>
                </c:pt>
                <c:pt idx="251">
                  <c:v>28100</c:v>
                </c:pt>
                <c:pt idx="252">
                  <c:v>28200</c:v>
                </c:pt>
                <c:pt idx="253">
                  <c:v>28300</c:v>
                </c:pt>
                <c:pt idx="254">
                  <c:v>28400</c:v>
                </c:pt>
                <c:pt idx="255">
                  <c:v>28500</c:v>
                </c:pt>
                <c:pt idx="256">
                  <c:v>28600</c:v>
                </c:pt>
                <c:pt idx="257">
                  <c:v>28700</c:v>
                </c:pt>
                <c:pt idx="258">
                  <c:v>28800</c:v>
                </c:pt>
                <c:pt idx="259">
                  <c:v>28900</c:v>
                </c:pt>
                <c:pt idx="260">
                  <c:v>29000</c:v>
                </c:pt>
                <c:pt idx="261">
                  <c:v>29100</c:v>
                </c:pt>
                <c:pt idx="262">
                  <c:v>29200</c:v>
                </c:pt>
                <c:pt idx="263">
                  <c:v>29300</c:v>
                </c:pt>
                <c:pt idx="264">
                  <c:v>29400</c:v>
                </c:pt>
                <c:pt idx="265">
                  <c:v>29500</c:v>
                </c:pt>
                <c:pt idx="266">
                  <c:v>29600</c:v>
                </c:pt>
                <c:pt idx="267">
                  <c:v>29700</c:v>
                </c:pt>
                <c:pt idx="268">
                  <c:v>29800</c:v>
                </c:pt>
                <c:pt idx="269">
                  <c:v>29900</c:v>
                </c:pt>
                <c:pt idx="270">
                  <c:v>30000</c:v>
                </c:pt>
              </c:numCache>
            </c:numRef>
          </c:xVal>
          <c:yVal>
            <c:numRef>
              <c:f>'SA1 Saha-Boltzmann'!$F$18:$F$288</c:f>
              <c:numCache>
                <c:formatCode>0.0000</c:formatCode>
                <c:ptCount val="271"/>
                <c:pt idx="0">
                  <c:v>1.1778282520356E-017</c:v>
                </c:pt>
                <c:pt idx="1">
                  <c:v>6.97548651454515E-017</c:v>
                </c:pt>
                <c:pt idx="2">
                  <c:v>3.70579113524272E-016</c:v>
                </c:pt>
                <c:pt idx="3">
                  <c:v>1.7834368407462E-015</c:v>
                </c:pt>
                <c:pt idx="4">
                  <c:v>7.84264478870106E-015</c:v>
                </c:pt>
                <c:pt idx="5">
                  <c:v>3.17559647456769E-014</c:v>
                </c:pt>
                <c:pt idx="6">
                  <c:v>1.19208579741963E-013</c:v>
                </c:pt>
                <c:pt idx="7">
                  <c:v>4.17399425093364E-013</c:v>
                </c:pt>
                <c:pt idx="8">
                  <c:v>1.37064204909697E-012</c:v>
                </c:pt>
                <c:pt idx="9">
                  <c:v>4.24178185464486E-012</c:v>
                </c:pt>
                <c:pt idx="10">
                  <c:v>1.2426174722476E-011</c:v>
                </c:pt>
                <c:pt idx="11">
                  <c:v>3.45954101461516E-011</c:v>
                </c:pt>
                <c:pt idx="12">
                  <c:v>9.18659976862405E-011</c:v>
                </c:pt>
                <c:pt idx="13">
                  <c:v>2.33434518940172E-010</c:v>
                </c:pt>
                <c:pt idx="14">
                  <c:v>5.69298066224626E-010</c:v>
                </c:pt>
                <c:pt idx="15">
                  <c:v>1.33614926491192E-009</c:v>
                </c:pt>
                <c:pt idx="16">
                  <c:v>3.02541836651502E-009</c:v>
                </c:pt>
                <c:pt idx="17">
                  <c:v>6.62391432370428E-009</c:v>
                </c:pt>
                <c:pt idx="18">
                  <c:v>1.40522183160463E-008</c:v>
                </c:pt>
                <c:pt idx="19">
                  <c:v>2.89404232756621E-008</c:v>
                </c:pt>
                <c:pt idx="20">
                  <c:v>5.79639070601453E-008</c:v>
                </c:pt>
                <c:pt idx="21">
                  <c:v>1.13085441810835E-007</c:v>
                </c:pt>
                <c:pt idx="22">
                  <c:v>2.15229466689036E-007</c:v>
                </c:pt>
                <c:pt idx="23">
                  <c:v>4.00169254334847E-007</c:v>
                </c:pt>
                <c:pt idx="24">
                  <c:v>7.27762037540647E-007</c:v>
                </c:pt>
                <c:pt idx="25">
                  <c:v>1.29614998349819E-006</c:v>
                </c:pt>
                <c:pt idx="26">
                  <c:v>2.26319052765931E-006</c:v>
                </c:pt>
                <c:pt idx="27">
                  <c:v>3.87822767198669E-006</c:v>
                </c:pt>
                <c:pt idx="28">
                  <c:v>6.52841124921629E-006</c:v>
                </c:pt>
                <c:pt idx="29">
                  <c:v>1.08051633640074E-005</c:v>
                </c:pt>
                <c:pt idx="30">
                  <c:v>1.75981334894098E-005</c:v>
                </c:pt>
                <c:pt idx="31">
                  <c:v>2.82261314631688E-005</c:v>
                </c:pt>
                <c:pt idx="32">
                  <c:v>4.461713608639E-005</c:v>
                </c:pt>
                <c:pt idx="33">
                  <c:v>6.95525972982486E-005</c:v>
                </c:pt>
                <c:pt idx="34">
                  <c:v>0.000106994923020083</c:v>
                </c:pt>
                <c:pt idx="35">
                  <c:v>0.000162521289177867</c:v>
                </c:pt>
                <c:pt idx="36">
                  <c:v>0.000243891719954243</c:v>
                </c:pt>
                <c:pt idx="37">
                  <c:v>0.000361784683547003</c:v>
                </c:pt>
                <c:pt idx="38">
                  <c:v>0.000530739070067249</c:v>
                </c:pt>
                <c:pt idx="39">
                  <c:v>0.000770347044596162</c:v>
                </c:pt>
                <c:pt idx="40">
                  <c:v>0.00110674734553064</c:v>
                </c:pt>
                <c:pt idx="41">
                  <c:v>0.00157447221204374</c:v>
                </c:pt>
                <c:pt idx="42">
                  <c:v>0.00221870182620159</c:v>
                </c:pt>
                <c:pt idx="43">
                  <c:v>0.00309797572616825</c:v>
                </c:pt>
                <c:pt idx="44">
                  <c:v>0.00428739779852575</c:v>
                </c:pt>
                <c:pt idx="45">
                  <c:v>0.00588234548788782</c:v>
                </c:pt>
                <c:pt idx="46">
                  <c:v>0.00800264832883104</c:v>
                </c:pt>
                <c:pt idx="47">
                  <c:v>0.0107971274636453</c:v>
                </c:pt>
                <c:pt idx="48">
                  <c:v>0.0144482764914328</c:v>
                </c:pt>
                <c:pt idx="49">
                  <c:v>0.019176704417004</c:v>
                </c:pt>
                <c:pt idx="50">
                  <c:v>0.0252447457110301</c:v>
                </c:pt>
                <c:pt idx="51">
                  <c:v>0.0329583706028187</c:v>
                </c:pt>
                <c:pt idx="52">
                  <c:v>0.0426662177747187</c:v>
                </c:pt>
                <c:pt idx="53">
                  <c:v>0.054754268480564</c:v>
                </c:pt>
                <c:pt idx="54">
                  <c:v>0.0696344769248795</c:v>
                </c:pt>
                <c:pt idx="55">
                  <c:v>0.087725711897753</c:v>
                </c:pt>
                <c:pt idx="56">
                  <c:v>0.109425841679407</c:v>
                </c:pt>
                <c:pt idx="57">
                  <c:v>0.135074905572433</c:v>
                </c:pt>
                <c:pt idx="58">
                  <c:v>0.164911170088235</c:v>
                </c:pt>
                <c:pt idx="59">
                  <c:v>0.199024345596822</c:v>
                </c:pt>
                <c:pt idx="60">
                  <c:v>0.23731285159374</c:v>
                </c:pt>
                <c:pt idx="61">
                  <c:v>0.279453877209156</c:v>
                </c:pt>
                <c:pt idx="62">
                  <c:v>0.324895002504964</c:v>
                </c:pt>
                <c:pt idx="63">
                  <c:v>0.372873521676698</c:v>
                </c:pt>
                <c:pt idx="64">
                  <c:v>0.422464409804663</c:v>
                </c:pt>
                <c:pt idx="65">
                  <c:v>0.472651363838085</c:v>
                </c:pt>
                <c:pt idx="66">
                  <c:v>0.522409675730218</c:v>
                </c:pt>
                <c:pt idx="67">
                  <c:v>0.570786956699795</c:v>
                </c:pt>
                <c:pt idx="68">
                  <c:v>0.616968904926055</c:v>
                </c:pt>
                <c:pt idx="69">
                  <c:v>0.66032176570963</c:v>
                </c:pt>
                <c:pt idx="70">
                  <c:v>0.700409041943375</c:v>
                </c:pt>
                <c:pt idx="71">
                  <c:v>0.736985323750559</c:v>
                </c:pt>
                <c:pt idx="72">
                  <c:v>0.769973453380741</c:v>
                </c:pt>
                <c:pt idx="73">
                  <c:v>0.799432292957552</c:v>
                </c:pt>
                <c:pt idx="74">
                  <c:v>0.825521606090593</c:v>
                </c:pt>
                <c:pt idx="75">
                  <c:v>0.848468833246835</c:v>
                </c:pt>
                <c:pt idx="76">
                  <c:v>0.868540600721156</c:v>
                </c:pt>
                <c:pt idx="77">
                  <c:v>0.886020146275277</c:v>
                </c:pt>
                <c:pt idx="78">
                  <c:v>0.901190674655924</c:v>
                </c:pt>
                <c:pt idx="79">
                  <c:v>0.914323972672647</c:v>
                </c:pt>
                <c:pt idx="80">
                  <c:v>0.925673313483344</c:v>
                </c:pt>
                <c:pt idx="81">
                  <c:v>0.935469634730628</c:v>
                </c:pt>
                <c:pt idx="82">
                  <c:v>0.943920072995986</c:v>
                </c:pt>
                <c:pt idx="83">
                  <c:v>0.951208096651284</c:v>
                </c:pt>
                <c:pt idx="84">
                  <c:v>0.957494650112573</c:v>
                </c:pt>
                <c:pt idx="85">
                  <c:v>0.962919877897142</c:v>
                </c:pt>
                <c:pt idx="86">
                  <c:v>0.967605125635093</c:v>
                </c:pt>
                <c:pt idx="87">
                  <c:v>0.971655015371821</c:v>
                </c:pt>
                <c:pt idx="88">
                  <c:v>0.975159466828437</c:v>
                </c:pt>
                <c:pt idx="89">
                  <c:v>0.978195589275257</c:v>
                </c:pt>
                <c:pt idx="90">
                  <c:v>0.980829405070916</c:v>
                </c:pt>
                <c:pt idx="91">
                  <c:v>0.983117389974632</c:v>
                </c:pt>
                <c:pt idx="92">
                  <c:v>0.985107830530393</c:v>
                </c:pt>
                <c:pt idx="93">
                  <c:v>0.986842007841314</c:v>
                </c:pt>
                <c:pt idx="94">
                  <c:v>0.988355221901078</c:v>
                </c:pt>
                <c:pt idx="95">
                  <c:v>0.989677672768555</c:v>
                </c:pt>
                <c:pt idx="96">
                  <c:v>0.990835215271954</c:v>
                </c:pt>
                <c:pt idx="97">
                  <c:v>0.991850003302123</c:v>
                </c:pt>
                <c:pt idx="98">
                  <c:v>0.992741038562707</c:v>
                </c:pt>
                <c:pt idx="99">
                  <c:v>0.993524637188057</c:v>
                </c:pt>
                <c:pt idx="100">
                  <c:v>0.994214826106562</c:v>
                </c:pt>
                <c:pt idx="101">
                  <c:v>0.99482367953074</c:v>
                </c:pt>
                <c:pt idx="102">
                  <c:v>0.995361604559171</c:v>
                </c:pt>
                <c:pt idx="103">
                  <c:v>0.995837583610228</c:v>
                </c:pt>
                <c:pt idx="104">
                  <c:v>0.996259380284194</c:v>
                </c:pt>
                <c:pt idx="105">
                  <c:v>0.996633714267387</c:v>
                </c:pt>
                <c:pt idx="106">
                  <c:v>0.996966410040835</c:v>
                </c:pt>
                <c:pt idx="107">
                  <c:v>0.997262523425126</c:v>
                </c:pt>
                <c:pt idx="108">
                  <c:v>0.997526449368966</c:v>
                </c:pt>
                <c:pt idx="109">
                  <c:v>0.997762013858621</c:v>
                </c:pt>
                <c:pt idx="110">
                  <c:v>0.997972552376108</c:v>
                </c:pt>
                <c:pt idx="111">
                  <c:v>0.998160976954421</c:v>
                </c:pt>
                <c:pt idx="112">
                  <c:v>0.99832983355784</c:v>
                </c:pt>
                <c:pt idx="113">
                  <c:v>0.998481351245664</c:v>
                </c:pt>
                <c:pt idx="114">
                  <c:v>0.998617484350625</c:v>
                </c:pt>
                <c:pt idx="115">
                  <c:v>0.998739948712185</c:v>
                </c:pt>
                <c:pt idx="116">
                  <c:v>0.998850252844169</c:v>
                </c:pt>
                <c:pt idx="117">
                  <c:v>0.998949724780919</c:v>
                </c:pt>
                <c:pt idx="118">
                  <c:v>0.99903953523227</c:v>
                </c:pt>
                <c:pt idx="119">
                  <c:v>0.999120717581793</c:v>
                </c:pt>
                <c:pt idx="120">
                  <c:v>0.99919418518187</c:v>
                </c:pt>
                <c:pt idx="121">
                  <c:v>0.99926074633108</c:v>
                </c:pt>
                <c:pt idx="122">
                  <c:v>0.999321117261752</c:v>
                </c:pt>
                <c:pt idx="123">
                  <c:v>0.999375933417013</c:v>
                </c:pt>
                <c:pt idx="124">
                  <c:v>0.999425759255464</c:v>
                </c:pt>
                <c:pt idx="125">
                  <c:v>0.99947109678686</c:v>
                </c:pt>
                <c:pt idx="126">
                  <c:v>0.999512393012632</c:v>
                </c:pt>
                <c:pt idx="127">
                  <c:v>0.99955004642007</c:v>
                </c:pt>
                <c:pt idx="128">
                  <c:v>0.999584412657689</c:v>
                </c:pt>
                <c:pt idx="129">
                  <c:v>0.999615809501237</c:v>
                </c:pt>
                <c:pt idx="130">
                  <c:v>0.999644521204372</c:v>
                </c:pt>
                <c:pt idx="131">
                  <c:v>0.999670802314914</c:v>
                </c:pt>
                <c:pt idx="132">
                  <c:v>0.999694881026355</c:v>
                </c:pt>
                <c:pt idx="133">
                  <c:v>0.999716962124727</c:v>
                </c:pt>
                <c:pt idx="134">
                  <c:v>0.999737229582734</c:v>
                </c:pt>
                <c:pt idx="135">
                  <c:v>0.999755848846006</c:v>
                </c:pt>
                <c:pt idx="136">
                  <c:v>0.999772968850341</c:v>
                </c:pt>
                <c:pt idx="137">
                  <c:v>0.99978872380357</c:v>
                </c:pt>
                <c:pt idx="138">
                  <c:v>0.999803234761287</c:v>
                </c:pt>
                <c:pt idx="139">
                  <c:v>0.999816611021808</c:v>
                </c:pt>
                <c:pt idx="140">
                  <c:v>0.99982895136243</c:v>
                </c:pt>
                <c:pt idx="141">
                  <c:v>0.999840345136229</c:v>
                </c:pt>
                <c:pt idx="142">
                  <c:v>0.999850873246141</c:v>
                </c:pt>
                <c:pt idx="143">
                  <c:v>0.999860609010955</c:v>
                </c:pt>
                <c:pt idx="144">
                  <c:v>0.999869618936012</c:v>
                </c:pt>
                <c:pt idx="145">
                  <c:v>0.999877963399771</c:v>
                </c:pt>
                <c:pt idx="146">
                  <c:v>0.999885697266043</c:v>
                </c:pt>
                <c:pt idx="147">
                  <c:v>0.999892870430482</c:v>
                </c:pt>
                <c:pt idx="148">
                  <c:v>0.999899528308852</c:v>
                </c:pt>
                <c:pt idx="149">
                  <c:v>0.999905712273692</c:v>
                </c:pt>
                <c:pt idx="150">
                  <c:v>0.999911460045213</c:v>
                </c:pt>
                <c:pt idx="151">
                  <c:v>0.999916806041525</c:v>
                </c:pt>
                <c:pt idx="152">
                  <c:v>0.999921781692734</c:v>
                </c:pt>
                <c:pt idx="153">
                  <c:v>0.999926415722872</c:v>
                </c:pt>
                <c:pt idx="154">
                  <c:v>0.999930734403196</c:v>
                </c:pt>
                <c:pt idx="155">
                  <c:v>0.999934761779949</c:v>
                </c:pt>
                <c:pt idx="156">
                  <c:v>0.999938519879338</c:v>
                </c:pt>
                <c:pt idx="157">
                  <c:v>0.999942028892176</c:v>
                </c:pt>
                <c:pt idx="158">
                  <c:v>0.999945307340326</c:v>
                </c:pt>
                <c:pt idx="159">
                  <c:v>0.99994837222688</c:v>
                </c:pt>
                <c:pt idx="160">
                  <c:v>0.99995123917177</c:v>
                </c:pt>
                <c:pt idx="161">
                  <c:v>0.999953922534321</c:v>
                </c:pt>
                <c:pt idx="162">
                  <c:v>0.999956435524084</c:v>
                </c:pt>
                <c:pt idx="163">
                  <c:v>0.999958790301171</c:v>
                </c:pt>
                <c:pt idx="164">
                  <c:v>0.999960998067126</c:v>
                </c:pt>
                <c:pt idx="165">
                  <c:v>0.999963069147314</c:v>
                </c:pt>
                <c:pt idx="166">
                  <c:v>0.999965013065661</c:v>
                </c:pt>
                <c:pt idx="167">
                  <c:v>0.999966838612512</c:v>
                </c:pt>
                <c:pt idx="168">
                  <c:v>0.99996855390628</c:v>
                </c:pt>
                <c:pt idx="169">
                  <c:v>0.999970166449505</c:v>
                </c:pt>
                <c:pt idx="170">
                  <c:v>0.999971683179852</c:v>
                </c:pt>
                <c:pt idx="171">
                  <c:v>0.999973110516551</c:v>
                </c:pt>
                <c:pt idx="172">
                  <c:v>0.999974454402708</c:v>
                </c:pt>
                <c:pt idx="173">
                  <c:v>0.999975720343884</c:v>
                </c:pt>
                <c:pt idx="174">
                  <c:v>0.999976913443292</c:v>
                </c:pt>
                <c:pt idx="175">
                  <c:v>0.999978038433932</c:v>
                </c:pt>
                <c:pt idx="176">
                  <c:v>0.999979099707954</c:v>
                </c:pt>
                <c:pt idx="177">
                  <c:v>0.999980101343494</c:v>
                </c:pt>
                <c:pt idx="178">
                  <c:v>0.999981047129227</c:v>
                </c:pt>
                <c:pt idx="179">
                  <c:v>0.999981940586846</c:v>
                </c:pt>
                <c:pt idx="180">
                  <c:v>0.999982784991644</c:v>
                </c:pt>
                <c:pt idx="181">
                  <c:v>0.999983583391382</c:v>
                </c:pt>
                <c:pt idx="182">
                  <c:v>0.999984338623593</c:v>
                </c:pt>
                <c:pt idx="183">
                  <c:v>0.999985053331456</c:v>
                </c:pt>
                <c:pt idx="184">
                  <c:v>0.999985729978378</c:v>
                </c:pt>
                <c:pt idx="185">
                  <c:v>0.999986370861386</c:v>
                </c:pt>
                <c:pt idx="186">
                  <c:v>0.999986978123437</c:v>
                </c:pt>
                <c:pt idx="187">
                  <c:v>0.999987553764744</c:v>
                </c:pt>
                <c:pt idx="188">
                  <c:v>0.999988099653199</c:v>
                </c:pt>
                <c:pt idx="189">
                  <c:v>0.999988617533967</c:v>
                </c:pt>
                <c:pt idx="190">
                  <c:v>0.999989109038329</c:v>
                </c:pt>
                <c:pt idx="191">
                  <c:v>0.999989575691834</c:v>
                </c:pt>
                <c:pt idx="192">
                  <c:v>0.999990018921815</c:v>
                </c:pt>
                <c:pt idx="193">
                  <c:v>0.99999044006433</c:v>
                </c:pt>
                <c:pt idx="194">
                  <c:v>0.999990840370562</c:v>
                </c:pt>
                <c:pt idx="195">
                  <c:v>0.999991221012745</c:v>
                </c:pt>
                <c:pt idx="196">
                  <c:v>0.999991583089627</c:v>
                </c:pt>
                <c:pt idx="197">
                  <c:v>0.999991927631532</c:v>
                </c:pt>
                <c:pt idx="198">
                  <c:v>0.999992255605039</c:v>
                </c:pt>
                <c:pt idx="199">
                  <c:v>0.999992567917315</c:v>
                </c:pt>
                <c:pt idx="200">
                  <c:v>0.999992865420127</c:v>
                </c:pt>
                <c:pt idx="201">
                  <c:v>0.999993148913562</c:v>
                </c:pt>
                <c:pt idx="202">
                  <c:v>0.99999341914947</c:v>
                </c:pt>
                <c:pt idx="203">
                  <c:v>0.999993676834666</c:v>
                </c:pt>
                <c:pt idx="204">
                  <c:v>0.999993922633893</c:v>
                </c:pt>
                <c:pt idx="205">
                  <c:v>0.999994157172576</c:v>
                </c:pt>
                <c:pt idx="206">
                  <c:v>0.999994381039384</c:v>
                </c:pt>
                <c:pt idx="207">
                  <c:v>0.999994594788602</c:v>
                </c:pt>
                <c:pt idx="208">
                  <c:v>0.999994798942346</c:v>
                </c:pt>
                <c:pt idx="209">
                  <c:v>0.999994993992614</c:v>
                </c:pt>
                <c:pt idx="210">
                  <c:v>0.999995180403198</c:v>
                </c:pt>
                <c:pt idx="211">
                  <c:v>0.999995358611471</c:v>
                </c:pt>
                <c:pt idx="212">
                  <c:v>0.999995529030037</c:v>
                </c:pt>
                <c:pt idx="213">
                  <c:v>0.99999569204828</c:v>
                </c:pt>
                <c:pt idx="214">
                  <c:v>0.999995848033801</c:v>
                </c:pt>
                <c:pt idx="215">
                  <c:v>0.999995997333765</c:v>
                </c:pt>
                <c:pt idx="216">
                  <c:v>0.99999614027615</c:v>
                </c:pt>
                <c:pt idx="217">
                  <c:v>0.999996277170915</c:v>
                </c:pt>
                <c:pt idx="218">
                  <c:v>0.999996408311094</c:v>
                </c:pt>
                <c:pt idx="219">
                  <c:v>0.999996533973814</c:v>
                </c:pt>
                <c:pt idx="220">
                  <c:v>0.999996654421247</c:v>
                </c:pt>
                <c:pt idx="221">
                  <c:v>0.999996769901502</c:v>
                </c:pt>
                <c:pt idx="222">
                  <c:v>0.999996880649452</c:v>
                </c:pt>
                <c:pt idx="223">
                  <c:v>0.999996986887522</c:v>
                </c:pt>
                <c:pt idx="224">
                  <c:v>0.999997088826409</c:v>
                </c:pt>
                <c:pt idx="225">
                  <c:v>0.999997186665768</c:v>
                </c:pt>
                <c:pt idx="226">
                  <c:v>0.999997280594852</c:v>
                </c:pt>
                <c:pt idx="227">
                  <c:v>0.999997370793108</c:v>
                </c:pt>
                <c:pt idx="228">
                  <c:v>0.999997457430738</c:v>
                </c:pt>
                <c:pt idx="229">
                  <c:v>0.99999754066923</c:v>
                </c:pt>
                <c:pt idx="230">
                  <c:v>0.999997620661845</c:v>
                </c:pt>
                <c:pt idx="231">
                  <c:v>0.99999769755408</c:v>
                </c:pt>
                <c:pt idx="232">
                  <c:v>0.99999777148411</c:v>
                </c:pt>
                <c:pt idx="233">
                  <c:v>0.999997842583187</c:v>
                </c:pt>
                <c:pt idx="234">
                  <c:v>0.999997910976027</c:v>
                </c:pt>
                <c:pt idx="235">
                  <c:v>0.999997976781171</c:v>
                </c:pt>
                <c:pt idx="236">
                  <c:v>0.999998040111321</c:v>
                </c:pt>
                <c:pt idx="237">
                  <c:v>0.999998101073659</c:v>
                </c:pt>
                <c:pt idx="238">
                  <c:v>0.999998159770146</c:v>
                </c:pt>
                <c:pt idx="239">
                  <c:v>0.999998216297804</c:v>
                </c:pt>
                <c:pt idx="240">
                  <c:v>0.999998270748979</c:v>
                </c:pt>
                <c:pt idx="241">
                  <c:v>0.999998323211592</c:v>
                </c:pt>
                <c:pt idx="242">
                  <c:v>0.999998373769374</c:v>
                </c:pt>
                <c:pt idx="243">
                  <c:v>0.999998422502085</c:v>
                </c:pt>
                <c:pt idx="244">
                  <c:v>0.999998469485726</c:v>
                </c:pt>
                <c:pt idx="245">
                  <c:v>0.999998514792732</c:v>
                </c:pt>
                <c:pt idx="246">
                  <c:v>0.999998558492157</c:v>
                </c:pt>
                <c:pt idx="247">
                  <c:v>0.999998600649852</c:v>
                </c:pt>
                <c:pt idx="248">
                  <c:v>0.999998641328628</c:v>
                </c:pt>
                <c:pt idx="249">
                  <c:v>0.99999868058841</c:v>
                </c:pt>
                <c:pt idx="250">
                  <c:v>0.999998718486387</c:v>
                </c:pt>
                <c:pt idx="251">
                  <c:v>0.999998755077148</c:v>
                </c:pt>
                <c:pt idx="252">
                  <c:v>0.999998790412813</c:v>
                </c:pt>
                <c:pt idx="253">
                  <c:v>0.99999882454316</c:v>
                </c:pt>
                <c:pt idx="254">
                  <c:v>0.999998857515737</c:v>
                </c:pt>
                <c:pt idx="255">
                  <c:v>0.999998889375976</c:v>
                </c:pt>
                <c:pt idx="256">
                  <c:v>0.999998920167297</c:v>
                </c:pt>
                <c:pt idx="257">
                  <c:v>0.999998949931208</c:v>
                </c:pt>
                <c:pt idx="258">
                  <c:v>0.999998978707393</c:v>
                </c:pt>
                <c:pt idx="259">
                  <c:v>0.999999006533809</c:v>
                </c:pt>
                <c:pt idx="260">
                  <c:v>0.999999033446763</c:v>
                </c:pt>
                <c:pt idx="261">
                  <c:v>0.999999059480995</c:v>
                </c:pt>
                <c:pt idx="262">
                  <c:v>0.999999084669752</c:v>
                </c:pt>
                <c:pt idx="263">
                  <c:v>0.999999109044858</c:v>
                </c:pt>
                <c:pt idx="264">
                  <c:v>0.999999132636785</c:v>
                </c:pt>
                <c:pt idx="265">
                  <c:v>0.999999155474712</c:v>
                </c:pt>
                <c:pt idx="266">
                  <c:v>0.999999177586593</c:v>
                </c:pt>
                <c:pt idx="267">
                  <c:v>0.999999198999204</c:v>
                </c:pt>
                <c:pt idx="268">
                  <c:v>0.99999921973821</c:v>
                </c:pt>
                <c:pt idx="269">
                  <c:v>0.999999239828207</c:v>
                </c:pt>
                <c:pt idx="270">
                  <c:v>0.999999259292774</c:v>
                </c:pt>
              </c:numCache>
            </c:numRef>
          </c:yVal>
          <c:smooth val="0"/>
        </c:ser>
        <c:axId val="5788534"/>
        <c:axId val="31707399"/>
      </c:scatterChart>
      <c:valAx>
        <c:axId val="57885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[K]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7399"/>
        <c:crosses val="autoZero"/>
        <c:crossBetween val="midCat"/>
      </c:valAx>
      <c:valAx>
        <c:axId val="3170739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N_II / N_total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853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Fraction in n = 2 (x 1e5): Balmer line strength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"N2/N_total x 1e5"</c:f>
              <c:strCache>
                <c:ptCount val="1"/>
                <c:pt idx="0">
                  <c:v>N2/N_total x 1e5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'SA1 Saha-Boltzmann'!$E$18:$E$288</c:f>
              <c:numCache>
                <c:formatCode>0</c:formatCode>
                <c:ptCount val="271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  <c:pt idx="9">
                  <c:v>3900</c:v>
                </c:pt>
                <c:pt idx="10">
                  <c:v>4000</c:v>
                </c:pt>
                <c:pt idx="11">
                  <c:v>4100</c:v>
                </c:pt>
                <c:pt idx="12">
                  <c:v>4200</c:v>
                </c:pt>
                <c:pt idx="13">
                  <c:v>4300</c:v>
                </c:pt>
                <c:pt idx="14">
                  <c:v>4400</c:v>
                </c:pt>
                <c:pt idx="15">
                  <c:v>4500</c:v>
                </c:pt>
                <c:pt idx="16">
                  <c:v>4600</c:v>
                </c:pt>
                <c:pt idx="17">
                  <c:v>4700</c:v>
                </c:pt>
                <c:pt idx="18">
                  <c:v>4800</c:v>
                </c:pt>
                <c:pt idx="19">
                  <c:v>4900</c:v>
                </c:pt>
                <c:pt idx="20">
                  <c:v>5000</c:v>
                </c:pt>
                <c:pt idx="21">
                  <c:v>5100</c:v>
                </c:pt>
                <c:pt idx="22">
                  <c:v>5200</c:v>
                </c:pt>
                <c:pt idx="23">
                  <c:v>5300</c:v>
                </c:pt>
                <c:pt idx="24">
                  <c:v>5400</c:v>
                </c:pt>
                <c:pt idx="25">
                  <c:v>5500</c:v>
                </c:pt>
                <c:pt idx="26">
                  <c:v>5600</c:v>
                </c:pt>
                <c:pt idx="27">
                  <c:v>5700</c:v>
                </c:pt>
                <c:pt idx="28">
                  <c:v>5800</c:v>
                </c:pt>
                <c:pt idx="29">
                  <c:v>5900</c:v>
                </c:pt>
                <c:pt idx="30">
                  <c:v>6000</c:v>
                </c:pt>
                <c:pt idx="31">
                  <c:v>6100</c:v>
                </c:pt>
                <c:pt idx="32">
                  <c:v>6200</c:v>
                </c:pt>
                <c:pt idx="33">
                  <c:v>6300</c:v>
                </c:pt>
                <c:pt idx="34">
                  <c:v>6400</c:v>
                </c:pt>
                <c:pt idx="35">
                  <c:v>6500</c:v>
                </c:pt>
                <c:pt idx="36">
                  <c:v>6600</c:v>
                </c:pt>
                <c:pt idx="37">
                  <c:v>6700</c:v>
                </c:pt>
                <c:pt idx="38">
                  <c:v>6800</c:v>
                </c:pt>
                <c:pt idx="39">
                  <c:v>6900</c:v>
                </c:pt>
                <c:pt idx="40">
                  <c:v>7000</c:v>
                </c:pt>
                <c:pt idx="41">
                  <c:v>7100</c:v>
                </c:pt>
                <c:pt idx="42">
                  <c:v>7200</c:v>
                </c:pt>
                <c:pt idx="43">
                  <c:v>7300</c:v>
                </c:pt>
                <c:pt idx="44">
                  <c:v>7400</c:v>
                </c:pt>
                <c:pt idx="45">
                  <c:v>7500</c:v>
                </c:pt>
                <c:pt idx="46">
                  <c:v>7600</c:v>
                </c:pt>
                <c:pt idx="47">
                  <c:v>7700</c:v>
                </c:pt>
                <c:pt idx="48">
                  <c:v>7800</c:v>
                </c:pt>
                <c:pt idx="49">
                  <c:v>7900</c:v>
                </c:pt>
                <c:pt idx="50">
                  <c:v>8000</c:v>
                </c:pt>
                <c:pt idx="51">
                  <c:v>8100</c:v>
                </c:pt>
                <c:pt idx="52">
                  <c:v>8200</c:v>
                </c:pt>
                <c:pt idx="53">
                  <c:v>8300</c:v>
                </c:pt>
                <c:pt idx="54">
                  <c:v>8400</c:v>
                </c:pt>
                <c:pt idx="55">
                  <c:v>8500</c:v>
                </c:pt>
                <c:pt idx="56">
                  <c:v>8600</c:v>
                </c:pt>
                <c:pt idx="57">
                  <c:v>8700</c:v>
                </c:pt>
                <c:pt idx="58">
                  <c:v>8800</c:v>
                </c:pt>
                <c:pt idx="59">
                  <c:v>8900</c:v>
                </c:pt>
                <c:pt idx="60">
                  <c:v>9000</c:v>
                </c:pt>
                <c:pt idx="61">
                  <c:v>9100</c:v>
                </c:pt>
                <c:pt idx="62">
                  <c:v>9200</c:v>
                </c:pt>
                <c:pt idx="63">
                  <c:v>9300</c:v>
                </c:pt>
                <c:pt idx="64">
                  <c:v>9400</c:v>
                </c:pt>
                <c:pt idx="65">
                  <c:v>9500</c:v>
                </c:pt>
                <c:pt idx="66">
                  <c:v>9600</c:v>
                </c:pt>
                <c:pt idx="67">
                  <c:v>9700</c:v>
                </c:pt>
                <c:pt idx="68">
                  <c:v>9800</c:v>
                </c:pt>
                <c:pt idx="69">
                  <c:v>9900</c:v>
                </c:pt>
                <c:pt idx="70">
                  <c:v>10000</c:v>
                </c:pt>
                <c:pt idx="71">
                  <c:v>10100</c:v>
                </c:pt>
                <c:pt idx="72">
                  <c:v>10200</c:v>
                </c:pt>
                <c:pt idx="73">
                  <c:v>10300</c:v>
                </c:pt>
                <c:pt idx="74">
                  <c:v>10400</c:v>
                </c:pt>
                <c:pt idx="75">
                  <c:v>10500</c:v>
                </c:pt>
                <c:pt idx="76">
                  <c:v>10600</c:v>
                </c:pt>
                <c:pt idx="77">
                  <c:v>10700</c:v>
                </c:pt>
                <c:pt idx="78">
                  <c:v>10800</c:v>
                </c:pt>
                <c:pt idx="79">
                  <c:v>10900</c:v>
                </c:pt>
                <c:pt idx="80">
                  <c:v>11000</c:v>
                </c:pt>
                <c:pt idx="81">
                  <c:v>11100</c:v>
                </c:pt>
                <c:pt idx="82">
                  <c:v>11200</c:v>
                </c:pt>
                <c:pt idx="83">
                  <c:v>11300</c:v>
                </c:pt>
                <c:pt idx="84">
                  <c:v>11400</c:v>
                </c:pt>
                <c:pt idx="85">
                  <c:v>11500</c:v>
                </c:pt>
                <c:pt idx="86">
                  <c:v>11600</c:v>
                </c:pt>
                <c:pt idx="87">
                  <c:v>11700</c:v>
                </c:pt>
                <c:pt idx="88">
                  <c:v>11800</c:v>
                </c:pt>
                <c:pt idx="89">
                  <c:v>11900</c:v>
                </c:pt>
                <c:pt idx="90">
                  <c:v>12000</c:v>
                </c:pt>
                <c:pt idx="91">
                  <c:v>12100</c:v>
                </c:pt>
                <c:pt idx="92">
                  <c:v>12200</c:v>
                </c:pt>
                <c:pt idx="93">
                  <c:v>12300</c:v>
                </c:pt>
                <c:pt idx="94">
                  <c:v>12400</c:v>
                </c:pt>
                <c:pt idx="95">
                  <c:v>12500</c:v>
                </c:pt>
                <c:pt idx="96">
                  <c:v>12600</c:v>
                </c:pt>
                <c:pt idx="97">
                  <c:v>12700</c:v>
                </c:pt>
                <c:pt idx="98">
                  <c:v>12800</c:v>
                </c:pt>
                <c:pt idx="99">
                  <c:v>12900</c:v>
                </c:pt>
                <c:pt idx="100">
                  <c:v>13000</c:v>
                </c:pt>
                <c:pt idx="101">
                  <c:v>13100</c:v>
                </c:pt>
                <c:pt idx="102">
                  <c:v>13200</c:v>
                </c:pt>
                <c:pt idx="103">
                  <c:v>13300</c:v>
                </c:pt>
                <c:pt idx="104">
                  <c:v>13400</c:v>
                </c:pt>
                <c:pt idx="105">
                  <c:v>13500</c:v>
                </c:pt>
                <c:pt idx="106">
                  <c:v>13600</c:v>
                </c:pt>
                <c:pt idx="107">
                  <c:v>13700</c:v>
                </c:pt>
                <c:pt idx="108">
                  <c:v>13800</c:v>
                </c:pt>
                <c:pt idx="109">
                  <c:v>13900</c:v>
                </c:pt>
                <c:pt idx="110">
                  <c:v>14000</c:v>
                </c:pt>
                <c:pt idx="111">
                  <c:v>14100</c:v>
                </c:pt>
                <c:pt idx="112">
                  <c:v>14200</c:v>
                </c:pt>
                <c:pt idx="113">
                  <c:v>14300</c:v>
                </c:pt>
                <c:pt idx="114">
                  <c:v>14400</c:v>
                </c:pt>
                <c:pt idx="115">
                  <c:v>14500</c:v>
                </c:pt>
                <c:pt idx="116">
                  <c:v>14600</c:v>
                </c:pt>
                <c:pt idx="117">
                  <c:v>14700</c:v>
                </c:pt>
                <c:pt idx="118">
                  <c:v>14800</c:v>
                </c:pt>
                <c:pt idx="119">
                  <c:v>14900</c:v>
                </c:pt>
                <c:pt idx="120">
                  <c:v>15000</c:v>
                </c:pt>
                <c:pt idx="121">
                  <c:v>15100</c:v>
                </c:pt>
                <c:pt idx="122">
                  <c:v>15200</c:v>
                </c:pt>
                <c:pt idx="123">
                  <c:v>15300</c:v>
                </c:pt>
                <c:pt idx="124">
                  <c:v>15400</c:v>
                </c:pt>
                <c:pt idx="125">
                  <c:v>15500</c:v>
                </c:pt>
                <c:pt idx="126">
                  <c:v>15600</c:v>
                </c:pt>
                <c:pt idx="127">
                  <c:v>15700</c:v>
                </c:pt>
                <c:pt idx="128">
                  <c:v>15800</c:v>
                </c:pt>
                <c:pt idx="129">
                  <c:v>15900</c:v>
                </c:pt>
                <c:pt idx="130">
                  <c:v>16000</c:v>
                </c:pt>
                <c:pt idx="131">
                  <c:v>16100</c:v>
                </c:pt>
                <c:pt idx="132">
                  <c:v>16200</c:v>
                </c:pt>
                <c:pt idx="133">
                  <c:v>16300</c:v>
                </c:pt>
                <c:pt idx="134">
                  <c:v>16400</c:v>
                </c:pt>
                <c:pt idx="135">
                  <c:v>16500</c:v>
                </c:pt>
                <c:pt idx="136">
                  <c:v>16600</c:v>
                </c:pt>
                <c:pt idx="137">
                  <c:v>16700</c:v>
                </c:pt>
                <c:pt idx="138">
                  <c:v>16800</c:v>
                </c:pt>
                <c:pt idx="139">
                  <c:v>16900</c:v>
                </c:pt>
                <c:pt idx="140">
                  <c:v>17000</c:v>
                </c:pt>
                <c:pt idx="141">
                  <c:v>17100</c:v>
                </c:pt>
                <c:pt idx="142">
                  <c:v>17200</c:v>
                </c:pt>
                <c:pt idx="143">
                  <c:v>17300</c:v>
                </c:pt>
                <c:pt idx="144">
                  <c:v>17400</c:v>
                </c:pt>
                <c:pt idx="145">
                  <c:v>17500</c:v>
                </c:pt>
                <c:pt idx="146">
                  <c:v>17600</c:v>
                </c:pt>
                <c:pt idx="147">
                  <c:v>17700</c:v>
                </c:pt>
                <c:pt idx="148">
                  <c:v>17800</c:v>
                </c:pt>
                <c:pt idx="149">
                  <c:v>17900</c:v>
                </c:pt>
                <c:pt idx="150">
                  <c:v>18000</c:v>
                </c:pt>
                <c:pt idx="151">
                  <c:v>18100</c:v>
                </c:pt>
                <c:pt idx="152">
                  <c:v>18200</c:v>
                </c:pt>
                <c:pt idx="153">
                  <c:v>18300</c:v>
                </c:pt>
                <c:pt idx="154">
                  <c:v>18400</c:v>
                </c:pt>
                <c:pt idx="155">
                  <c:v>18500</c:v>
                </c:pt>
                <c:pt idx="156">
                  <c:v>18600</c:v>
                </c:pt>
                <c:pt idx="157">
                  <c:v>18700</c:v>
                </c:pt>
                <c:pt idx="158">
                  <c:v>18800</c:v>
                </c:pt>
                <c:pt idx="159">
                  <c:v>18900</c:v>
                </c:pt>
                <c:pt idx="160">
                  <c:v>19000</c:v>
                </c:pt>
                <c:pt idx="161">
                  <c:v>19100</c:v>
                </c:pt>
                <c:pt idx="162">
                  <c:v>19200</c:v>
                </c:pt>
                <c:pt idx="163">
                  <c:v>19300</c:v>
                </c:pt>
                <c:pt idx="164">
                  <c:v>19400</c:v>
                </c:pt>
                <c:pt idx="165">
                  <c:v>19500</c:v>
                </c:pt>
                <c:pt idx="166">
                  <c:v>19600</c:v>
                </c:pt>
                <c:pt idx="167">
                  <c:v>19700</c:v>
                </c:pt>
                <c:pt idx="168">
                  <c:v>19800</c:v>
                </c:pt>
                <c:pt idx="169">
                  <c:v>19900</c:v>
                </c:pt>
                <c:pt idx="170">
                  <c:v>20000</c:v>
                </c:pt>
                <c:pt idx="171">
                  <c:v>20100</c:v>
                </c:pt>
                <c:pt idx="172">
                  <c:v>20200</c:v>
                </c:pt>
                <c:pt idx="173">
                  <c:v>20300</c:v>
                </c:pt>
                <c:pt idx="174">
                  <c:v>20400</c:v>
                </c:pt>
                <c:pt idx="175">
                  <c:v>20500</c:v>
                </c:pt>
                <c:pt idx="176">
                  <c:v>20600</c:v>
                </c:pt>
                <c:pt idx="177">
                  <c:v>20700</c:v>
                </c:pt>
                <c:pt idx="178">
                  <c:v>20800</c:v>
                </c:pt>
                <c:pt idx="179">
                  <c:v>20900</c:v>
                </c:pt>
                <c:pt idx="180">
                  <c:v>21000</c:v>
                </c:pt>
                <c:pt idx="181">
                  <c:v>21100</c:v>
                </c:pt>
                <c:pt idx="182">
                  <c:v>21200</c:v>
                </c:pt>
                <c:pt idx="183">
                  <c:v>21300</c:v>
                </c:pt>
                <c:pt idx="184">
                  <c:v>21400</c:v>
                </c:pt>
                <c:pt idx="185">
                  <c:v>21500</c:v>
                </c:pt>
                <c:pt idx="186">
                  <c:v>21600</c:v>
                </c:pt>
                <c:pt idx="187">
                  <c:v>21700</c:v>
                </c:pt>
                <c:pt idx="188">
                  <c:v>21800</c:v>
                </c:pt>
                <c:pt idx="189">
                  <c:v>21900</c:v>
                </c:pt>
                <c:pt idx="190">
                  <c:v>22000</c:v>
                </c:pt>
                <c:pt idx="191">
                  <c:v>22100</c:v>
                </c:pt>
                <c:pt idx="192">
                  <c:v>22200</c:v>
                </c:pt>
                <c:pt idx="193">
                  <c:v>22300</c:v>
                </c:pt>
                <c:pt idx="194">
                  <c:v>22400</c:v>
                </c:pt>
                <c:pt idx="195">
                  <c:v>22500</c:v>
                </c:pt>
                <c:pt idx="196">
                  <c:v>22600</c:v>
                </c:pt>
                <c:pt idx="197">
                  <c:v>22700</c:v>
                </c:pt>
                <c:pt idx="198">
                  <c:v>22800</c:v>
                </c:pt>
                <c:pt idx="199">
                  <c:v>22900</c:v>
                </c:pt>
                <c:pt idx="200">
                  <c:v>23000</c:v>
                </c:pt>
                <c:pt idx="201">
                  <c:v>23100</c:v>
                </c:pt>
                <c:pt idx="202">
                  <c:v>23200</c:v>
                </c:pt>
                <c:pt idx="203">
                  <c:v>23300</c:v>
                </c:pt>
                <c:pt idx="204">
                  <c:v>23400</c:v>
                </c:pt>
                <c:pt idx="205">
                  <c:v>23500</c:v>
                </c:pt>
                <c:pt idx="206">
                  <c:v>23600</c:v>
                </c:pt>
                <c:pt idx="207">
                  <c:v>23700</c:v>
                </c:pt>
                <c:pt idx="208">
                  <c:v>23800</c:v>
                </c:pt>
                <c:pt idx="209">
                  <c:v>23900</c:v>
                </c:pt>
                <c:pt idx="210">
                  <c:v>24000</c:v>
                </c:pt>
                <c:pt idx="211">
                  <c:v>24100</c:v>
                </c:pt>
                <c:pt idx="212">
                  <c:v>24200</c:v>
                </c:pt>
                <c:pt idx="213">
                  <c:v>24300</c:v>
                </c:pt>
                <c:pt idx="214">
                  <c:v>24400</c:v>
                </c:pt>
                <c:pt idx="215">
                  <c:v>24500</c:v>
                </c:pt>
                <c:pt idx="216">
                  <c:v>24600</c:v>
                </c:pt>
                <c:pt idx="217">
                  <c:v>24700</c:v>
                </c:pt>
                <c:pt idx="218">
                  <c:v>24800</c:v>
                </c:pt>
                <c:pt idx="219">
                  <c:v>24900</c:v>
                </c:pt>
                <c:pt idx="220">
                  <c:v>25000</c:v>
                </c:pt>
                <c:pt idx="221">
                  <c:v>25100</c:v>
                </c:pt>
                <c:pt idx="222">
                  <c:v>25200</c:v>
                </c:pt>
                <c:pt idx="223">
                  <c:v>25300</c:v>
                </c:pt>
                <c:pt idx="224">
                  <c:v>25400</c:v>
                </c:pt>
                <c:pt idx="225">
                  <c:v>25500</c:v>
                </c:pt>
                <c:pt idx="226">
                  <c:v>25600</c:v>
                </c:pt>
                <c:pt idx="227">
                  <c:v>25700</c:v>
                </c:pt>
                <c:pt idx="228">
                  <c:v>25800</c:v>
                </c:pt>
                <c:pt idx="229">
                  <c:v>25900</c:v>
                </c:pt>
                <c:pt idx="230">
                  <c:v>26000</c:v>
                </c:pt>
                <c:pt idx="231">
                  <c:v>26100</c:v>
                </c:pt>
                <c:pt idx="232">
                  <c:v>26200</c:v>
                </c:pt>
                <c:pt idx="233">
                  <c:v>26300</c:v>
                </c:pt>
                <c:pt idx="234">
                  <c:v>26400</c:v>
                </c:pt>
                <c:pt idx="235">
                  <c:v>26500</c:v>
                </c:pt>
                <c:pt idx="236">
                  <c:v>26600</c:v>
                </c:pt>
                <c:pt idx="237">
                  <c:v>26700</c:v>
                </c:pt>
                <c:pt idx="238">
                  <c:v>26800</c:v>
                </c:pt>
                <c:pt idx="239">
                  <c:v>26900</c:v>
                </c:pt>
                <c:pt idx="240">
                  <c:v>27000</c:v>
                </c:pt>
                <c:pt idx="241">
                  <c:v>27100</c:v>
                </c:pt>
                <c:pt idx="242">
                  <c:v>27200</c:v>
                </c:pt>
                <c:pt idx="243">
                  <c:v>27300</c:v>
                </c:pt>
                <c:pt idx="244">
                  <c:v>27400</c:v>
                </c:pt>
                <c:pt idx="245">
                  <c:v>27500</c:v>
                </c:pt>
                <c:pt idx="246">
                  <c:v>27600</c:v>
                </c:pt>
                <c:pt idx="247">
                  <c:v>27700</c:v>
                </c:pt>
                <c:pt idx="248">
                  <c:v>27800</c:v>
                </c:pt>
                <c:pt idx="249">
                  <c:v>27900</c:v>
                </c:pt>
                <c:pt idx="250">
                  <c:v>28000</c:v>
                </c:pt>
                <c:pt idx="251">
                  <c:v>28100</c:v>
                </c:pt>
                <c:pt idx="252">
                  <c:v>28200</c:v>
                </c:pt>
                <c:pt idx="253">
                  <c:v>28300</c:v>
                </c:pt>
                <c:pt idx="254">
                  <c:v>28400</c:v>
                </c:pt>
                <c:pt idx="255">
                  <c:v>28500</c:v>
                </c:pt>
                <c:pt idx="256">
                  <c:v>28600</c:v>
                </c:pt>
                <c:pt idx="257">
                  <c:v>28700</c:v>
                </c:pt>
                <c:pt idx="258">
                  <c:v>28800</c:v>
                </c:pt>
                <c:pt idx="259">
                  <c:v>28900</c:v>
                </c:pt>
                <c:pt idx="260">
                  <c:v>29000</c:v>
                </c:pt>
                <c:pt idx="261">
                  <c:v>29100</c:v>
                </c:pt>
                <c:pt idx="262">
                  <c:v>29200</c:v>
                </c:pt>
                <c:pt idx="263">
                  <c:v>29300</c:v>
                </c:pt>
                <c:pt idx="264">
                  <c:v>29400</c:v>
                </c:pt>
                <c:pt idx="265">
                  <c:v>29500</c:v>
                </c:pt>
                <c:pt idx="266">
                  <c:v>29600</c:v>
                </c:pt>
                <c:pt idx="267">
                  <c:v>29700</c:v>
                </c:pt>
                <c:pt idx="268">
                  <c:v>29800</c:v>
                </c:pt>
                <c:pt idx="269">
                  <c:v>29900</c:v>
                </c:pt>
                <c:pt idx="270">
                  <c:v>30000</c:v>
                </c:pt>
              </c:numCache>
            </c:numRef>
          </c:xVal>
          <c:yVal>
            <c:numRef>
              <c:f>'SA1 Saha-Boltzmann'!$G$18:$G$288</c:f>
              <c:numCache>
                <c:formatCode>0.0000</c:formatCode>
                <c:ptCount val="271"/>
                <c:pt idx="0">
                  <c:v>2.94099365298686E-012</c:v>
                </c:pt>
                <c:pt idx="1">
                  <c:v>1.05000111820379E-011</c:v>
                </c:pt>
                <c:pt idx="2">
                  <c:v>3.4621187200488E-011</c:v>
                </c:pt>
                <c:pt idx="3">
                  <c:v>1.06191801287297E-010</c:v>
                </c:pt>
                <c:pt idx="4">
                  <c:v>3.0493531462979E-010</c:v>
                </c:pt>
                <c:pt idx="5">
                  <c:v>8.24415900195693E-010</c:v>
                </c:pt>
                <c:pt idx="6">
                  <c:v>2.10905742407946E-009</c:v>
                </c:pt>
                <c:pt idx="7">
                  <c:v>5.1283720969608E-009</c:v>
                </c:pt>
                <c:pt idx="8">
                  <c:v>1.1900373532449E-008</c:v>
                </c:pt>
                <c:pt idx="9">
                  <c:v>2.64480654685706E-008</c:v>
                </c:pt>
                <c:pt idx="10">
                  <c:v>5.64788133346951E-008</c:v>
                </c:pt>
                <c:pt idx="11">
                  <c:v>1.16226310502365E-007</c:v>
                </c:pt>
                <c:pt idx="12">
                  <c:v>2.31099300653457E-007</c:v>
                </c:pt>
                <c:pt idx="13">
                  <c:v>4.45050568847091E-007</c:v>
                </c:pt>
                <c:pt idx="14">
                  <c:v>8.31923204936612E-007</c:v>
                </c:pt>
                <c:pt idx="15">
                  <c:v>1.51245590330935E-006</c:v>
                </c:pt>
                <c:pt idx="16">
                  <c:v>2.67913914524368E-006</c:v>
                </c:pt>
                <c:pt idx="17">
                  <c:v>4.63170964453704E-006</c:v>
                </c:pt>
                <c:pt idx="18">
                  <c:v>7.82674699435182E-006</c:v>
                </c:pt>
                <c:pt idx="19">
                  <c:v>1.29455846861167E-005</c:v>
                </c:pt>
                <c:pt idx="20">
                  <c:v>2.09855532717236E-005</c:v>
                </c:pt>
                <c:pt idx="21">
                  <c:v>3.33804174198904E-005</c:v>
                </c:pt>
                <c:pt idx="22">
                  <c:v>5.2156727883881E-005</c:v>
                </c:pt>
                <c:pt idx="23">
                  <c:v>8.01336575639163E-005</c:v>
                </c:pt>
                <c:pt idx="24">
                  <c:v>0.000121174699181075</c:v>
                </c:pt>
                <c:pt idx="25">
                  <c:v>0.000180500340459477</c:v>
                </c:pt>
                <c:pt idx="26">
                  <c:v>0.000265071470424132</c:v>
                </c:pt>
                <c:pt idx="27">
                  <c:v>0.000384053776554319</c:v>
                </c:pt>
                <c:pt idx="28">
                  <c:v>0.000549373735691116</c:v>
                </c:pt>
                <c:pt idx="29">
                  <c:v>0.00077637694849681</c:v>
                </c:pt>
                <c:pt idx="30">
                  <c:v>0.00108459947964306</c:v>
                </c:pt>
                <c:pt idx="31">
                  <c:v>0.00149866249499046</c:v>
                </c:pt>
                <c:pt idx="32">
                  <c:v>0.00204929976448058</c:v>
                </c:pt>
                <c:pt idx="33">
                  <c:v>0.00277452642345908</c:v>
                </c:pt>
                <c:pt idx="34">
                  <c:v>0.00372095559974087</c:v>
                </c:pt>
                <c:pt idx="35">
                  <c:v>0.00494526687939402</c:v>
                </c:pt>
                <c:pt idx="36">
                  <c:v>0.00651582673700363</c:v>
                </c:pt>
                <c:pt idx="37">
                  <c:v>0.00851445545277695</c:v>
                </c:pt>
                <c:pt idx="38">
                  <c:v>0.0110383268853711</c:v>
                </c:pt>
                <c:pt idx="39">
                  <c:v>0.0142019756328161</c:v>
                </c:pt>
                <c:pt idx="40">
                  <c:v>0.0181393690192278</c:v>
                </c:pt>
                <c:pt idx="41">
                  <c:v>0.0230059768663051</c:v>
                </c:pt>
                <c:pt idx="42">
                  <c:v>0.0289807373775094</c:v>
                </c:pt>
                <c:pt idx="43">
                  <c:v>0.0362677692374687</c:v>
                </c:pt>
                <c:pt idx="44">
                  <c:v>0.045097614204651</c:v>
                </c:pt>
                <c:pt idx="45">
                  <c:v>0.0557277068725418</c:v>
                </c:pt>
                <c:pt idx="46">
                  <c:v>0.0684416554233758</c:v>
                </c:pt>
                <c:pt idx="47">
                  <c:v>0.0835467780326956</c:v>
                </c:pt>
                <c:pt idx="48">
                  <c:v>0.101369178358832</c:v>
                </c:pt>
                <c:pt idx="49">
                  <c:v>0.122245474429952</c:v>
                </c:pt>
                <c:pt idx="50">
                  <c:v>0.146510148790325</c:v>
                </c:pt>
                <c:pt idx="51">
                  <c:v>0.174477418986355</c:v>
                </c:pt>
                <c:pt idx="52">
                  <c:v>0.206416623455614</c:v>
                </c:pt>
                <c:pt idx="53">
                  <c:v>0.242520500529927</c:v>
                </c:pt>
                <c:pt idx="54">
                  <c:v>0.282866553571738</c:v>
                </c:pt>
                <c:pt idx="55">
                  <c:v>0.327373076886654</c:v>
                </c:pt>
                <c:pt idx="56">
                  <c:v>0.375753411840418</c:v>
                </c:pt>
                <c:pt idx="57">
                  <c:v>0.427474456419793</c:v>
                </c:pt>
                <c:pt idx="58">
                  <c:v>0.481727882733449</c:v>
                </c:pt>
                <c:pt idx="59">
                  <c:v>0.537424052923827</c:v>
                </c:pt>
                <c:pt idx="60">
                  <c:v>0.593218118486988</c:v>
                </c:pt>
                <c:pt idx="61">
                  <c:v>0.647574223965197</c:v>
                </c:pt>
                <c:pt idx="62">
                  <c:v>0.698866878467033</c:v>
                </c:pt>
                <c:pt idx="63">
                  <c:v>0.745509570476349</c:v>
                </c:pt>
                <c:pt idx="64">
                  <c:v>0.786092226066832</c:v>
                </c:pt>
                <c:pt idx="65">
                  <c:v>0.81950443887841</c:v>
                </c:pt>
                <c:pt idx="66">
                  <c:v>0.845022906350025</c:v>
                </c:pt>
                <c:pt idx="67">
                  <c:v>0.862349221444153</c:v>
                </c:pt>
                <c:pt idx="68">
                  <c:v>0.871595514483715</c:v>
                </c:pt>
                <c:pt idx="69">
                  <c:v>0.873226441872642</c:v>
                </c:pt>
                <c:pt idx="70">
                  <c:v>0.867973246945313</c:v>
                </c:pt>
                <c:pt idx="71">
                  <c:v>0.856737617064804</c:v>
                </c:pt>
                <c:pt idx="72">
                  <c:v>0.840500531146916</c:v>
                </c:pt>
                <c:pt idx="73">
                  <c:v>0.820246221190273</c:v>
                </c:pt>
                <c:pt idx="74">
                  <c:v>0.796905877476251</c:v>
                </c:pt>
                <c:pt idx="75">
                  <c:v>0.771321269842234</c:v>
                </c:pt>
                <c:pt idx="76">
                  <c:v>0.744225628995614</c:v>
                </c:pt>
                <c:pt idx="77">
                  <c:v>0.716237854622737</c:v>
                </c:pt>
                <c:pt idx="78">
                  <c:v>0.68786597598837</c:v>
                </c:pt>
                <c:pt idx="79">
                  <c:v>0.659516308243307</c:v>
                </c:pt>
                <c:pt idx="80">
                  <c:v>0.631505535667221</c:v>
                </c:pt>
                <c:pt idx="81">
                  <c:v>0.604073759330096</c:v>
                </c:pt>
                <c:pt idx="82">
                  <c:v>0.577397240329222</c:v>
                </c:pt>
                <c:pt idx="83">
                  <c:v>0.551600104938868</c:v>
                </c:pt>
                <c:pt idx="84">
                  <c:v>0.526764657744451</c:v>
                </c:pt>
                <c:pt idx="85">
                  <c:v>0.502940198542981</c:v>
                </c:pt>
                <c:pt idx="86">
                  <c:v>0.480150389955294</c:v>
                </c:pt>
                <c:pt idx="87">
                  <c:v>0.458399304482642</c:v>
                </c:pt>
                <c:pt idx="88">
                  <c:v>0.437676315729557</c:v>
                </c:pt>
                <c:pt idx="89">
                  <c:v>0.417960006198844</c:v>
                </c:pt>
                <c:pt idx="90">
                  <c:v>0.399221255615641</c:v>
                </c:pt>
                <c:pt idx="91">
                  <c:v>0.381425657175144</c:v>
                </c:pt>
                <c:pt idx="92">
                  <c:v>0.364535389437717</c:v>
                </c:pt>
                <c:pt idx="93">
                  <c:v>0.348510651749017</c:v>
                </c:pt>
                <c:pt idx="94">
                  <c:v>0.333310752616191</c:v>
                </c:pt>
                <c:pt idx="95">
                  <c:v>0.318894924147251</c:v>
                </c:pt>
                <c:pt idx="96">
                  <c:v>0.305222921675169</c:v>
                </c:pt>
                <c:pt idx="97">
                  <c:v>0.292255455973791</c:v>
                </c:pt>
                <c:pt idx="98">
                  <c:v>0.279954495820254</c:v>
                </c:pt>
                <c:pt idx="99">
                  <c:v>0.268283470802014</c:v>
                </c:pt>
                <c:pt idx="100">
                  <c:v>0.257207397931028</c:v>
                </c:pt>
                <c:pt idx="101">
                  <c:v>0.24669295055546</c:v>
                </c:pt>
                <c:pt idx="102">
                  <c:v>0.236708484021482</c:v>
                </c:pt>
                <c:pt idx="103">
                  <c:v>0.227224029338043</c:v>
                </c:pt>
                <c:pt idx="104">
                  <c:v>0.21821126357126</c:v>
                </c:pt>
                <c:pt idx="105">
                  <c:v>0.209643463706894</c:v>
                </c:pt>
                <c:pt idx="106">
                  <c:v>0.201495449158779</c:v>
                </c:pt>
                <c:pt idx="107">
                  <c:v>0.193743516879227</c:v>
                </c:pt>
                <c:pt idx="108">
                  <c:v>0.186365372073028</c:v>
                </c:pt>
                <c:pt idx="109">
                  <c:v>0.179340056772925</c:v>
                </c:pt>
                <c:pt idx="110">
                  <c:v>0.172647877956448</c:v>
                </c:pt>
                <c:pt idx="111">
                  <c:v>0.166270336435977</c:v>
                </c:pt>
                <c:pt idx="112">
                  <c:v>0.160190057407861</c:v>
                </c:pt>
                <c:pt idx="113">
                  <c:v>0.154390723280181</c:v>
                </c:pt>
                <c:pt idx="114">
                  <c:v>0.148857009194832</c:v>
                </c:pt>
                <c:pt idx="115">
                  <c:v>0.143574521504457</c:v>
                </c:pt>
                <c:pt idx="116">
                  <c:v>0.13852973934748</c:v>
                </c:pt>
                <c:pt idx="117">
                  <c:v>0.133709959376755</c:v>
                </c:pt>
                <c:pt idx="118">
                  <c:v>0.129103243632557</c:v>
                </c:pt>
                <c:pt idx="119">
                  <c:v>0.124698370503472</c:v>
                </c:pt>
                <c:pt idx="120">
                  <c:v>0.120484788685379</c:v>
                </c:pt>
                <c:pt idx="121">
                  <c:v>0.116452574025729</c:v>
                </c:pt>
                <c:pt idx="122">
                  <c:v>0.112592389125454</c:v>
                </c:pt>
                <c:pt idx="123">
                  <c:v>0.108895445562014</c:v>
                </c:pt>
                <c:pt idx="124">
                  <c:v>0.105353468592842</c:v>
                </c:pt>
                <c:pt idx="125">
                  <c:v>0.10195866419763</c:v>
                </c:pt>
                <c:pt idx="126">
                  <c:v>0.0987036883195807</c:v>
                </c:pt>
                <c:pt idx="127">
                  <c:v>0.0955816181691852</c:v>
                </c:pt>
                <c:pt idx="128">
                  <c:v>0.0925859254588596</c:v>
                </c:pt>
                <c:pt idx="129">
                  <c:v>0.0897104514422851</c:v>
                </c:pt>
                <c:pt idx="130">
                  <c:v>0.0869493836384114</c:v>
                </c:pt>
                <c:pt idx="131">
                  <c:v>0.0842972341264263</c:v>
                </c:pt>
                <c:pt idx="132">
                  <c:v>0.0817488193044657</c:v>
                </c:pt>
                <c:pt idx="133">
                  <c:v>0.0792992410112659</c:v>
                </c:pt>
                <c:pt idx="134">
                  <c:v>0.0769438689162664</c:v>
                </c:pt>
                <c:pt idx="135">
                  <c:v>0.0746783240897743</c:v>
                </c:pt>
                <c:pt idx="136">
                  <c:v>0.0724984636706695</c:v>
                </c:pt>
                <c:pt idx="137">
                  <c:v>0.0704003665547197</c:v>
                </c:pt>
                <c:pt idx="138">
                  <c:v>0.068380320031875</c:v>
                </c:pt>
                <c:pt idx="139">
                  <c:v>0.0664348073059123</c:v>
                </c:pt>
                <c:pt idx="140">
                  <c:v>0.0645604958345089</c:v>
                </c:pt>
                <c:pt idx="141">
                  <c:v>0.0627542264322276</c:v>
                </c:pt>
                <c:pt idx="142">
                  <c:v>0.0610130030830191</c:v>
                </c:pt>
                <c:pt idx="143">
                  <c:v>0.0593339834126952</c:v>
                </c:pt>
                <c:pt idx="144">
                  <c:v>0.0577144697754027</c:v>
                </c:pt>
                <c:pt idx="145">
                  <c:v>0.0561519009114656</c:v>
                </c:pt>
                <c:pt idx="146">
                  <c:v>0.0546438441370494</c:v>
                </c:pt>
                <c:pt idx="147">
                  <c:v>0.0531879880289792</c:v>
                </c:pt>
                <c:pt idx="148">
                  <c:v>0.0517821355707021</c:v>
                </c:pt>
                <c:pt idx="149">
                  <c:v>0.0504241977278525</c:v>
                </c:pt>
                <c:pt idx="150">
                  <c:v>0.0491121874241649</c:v>
                </c:pt>
                <c:pt idx="151">
                  <c:v>0.0478442138905954</c:v>
                </c:pt>
                <c:pt idx="152">
                  <c:v>0.0466184773624671</c:v>
                </c:pt>
                <c:pt idx="153">
                  <c:v>0.0454332641012752</c:v>
                </c:pt>
                <c:pt idx="154">
                  <c:v>0.0442869417194562</c:v>
                </c:pt>
                <c:pt idx="155">
                  <c:v>0.0431779547879829</c:v>
                </c:pt>
                <c:pt idx="156">
                  <c:v>0.0421048207080808</c:v>
                </c:pt>
                <c:pt idx="157">
                  <c:v>0.0410661258296883</c:v>
                </c:pt>
                <c:pt idx="158">
                  <c:v>0.0400605218005161</c:v>
                </c:pt>
                <c:pt idx="159">
                  <c:v>0.0390867221306944</c:v>
                </c:pt>
                <c:pt idx="160">
                  <c:v>0.0381434989590527</c:v>
                </c:pt>
                <c:pt idx="161">
                  <c:v>0.0372296800080509</c:v>
                </c:pt>
                <c:pt idx="162">
                  <c:v>0.036344145715281</c:v>
                </c:pt>
                <c:pt idx="163">
                  <c:v>0.035485826530298</c:v>
                </c:pt>
                <c:pt idx="164">
                  <c:v>0.0346537003663112</c:v>
                </c:pt>
                <c:pt idx="165">
                  <c:v>0.0338467901969831</c:v>
                </c:pt>
                <c:pt idx="166">
                  <c:v>0.0330641617892529</c:v>
                </c:pt>
                <c:pt idx="167">
                  <c:v>0.0323049215637125</c:v>
                </c:pt>
                <c:pt idx="168">
                  <c:v>0.0315682145746401</c:v>
                </c:pt>
                <c:pt idx="169">
                  <c:v>0.0308532226023229</c:v>
                </c:pt>
                <c:pt idx="170">
                  <c:v>0.0301591623507966</c:v>
                </c:pt>
                <c:pt idx="171">
                  <c:v>0.0294852837445838</c:v>
                </c:pt>
                <c:pt idx="172">
                  <c:v>0.0288308683184389</c:v>
                </c:pt>
                <c:pt idx="173">
                  <c:v>0.0281952276945018</c:v>
                </c:pt>
                <c:pt idx="174">
                  <c:v>0.0275777021416298</c:v>
                </c:pt>
                <c:pt idx="175">
                  <c:v>0.0269776592120152</c:v>
                </c:pt>
                <c:pt idx="176">
                  <c:v>0.026394492450517</c:v>
                </c:pt>
                <c:pt idx="177">
                  <c:v>0.0258276201724263</c:v>
                </c:pt>
                <c:pt idx="178">
                  <c:v>0.0252764843056609</c:v>
                </c:pt>
                <c:pt idx="179">
                  <c:v>0.0247405492936407</c:v>
                </c:pt>
                <c:pt idx="180">
                  <c:v>0.0242193010553313</c:v>
                </c:pt>
                <c:pt idx="181">
                  <c:v>0.0237122459991669</c:v>
                </c:pt>
                <c:pt idx="182">
                  <c:v>0.0232189100877685</c:v>
                </c:pt>
                <c:pt idx="183">
                  <c:v>0.022738837950567</c:v>
                </c:pt>
                <c:pt idx="184">
                  <c:v>0.0222715920416196</c:v>
                </c:pt>
                <c:pt idx="185">
                  <c:v>0.0218167518400755</c:v>
                </c:pt>
                <c:pt idx="186">
                  <c:v>0.0213739130909042</c:v>
                </c:pt>
                <c:pt idx="187">
                  <c:v>0.0209426870836436</c:v>
                </c:pt>
                <c:pt idx="188">
                  <c:v>0.020522699967064</c:v>
                </c:pt>
                <c:pt idx="189">
                  <c:v>0.020113592097769</c:v>
                </c:pt>
                <c:pt idx="190">
                  <c:v>0.0197150174208751</c:v>
                </c:pt>
                <c:pt idx="191">
                  <c:v>0.0193266428810218</c:v>
                </c:pt>
                <c:pt idx="192">
                  <c:v>0.0189481478620695</c:v>
                </c:pt>
                <c:pt idx="193">
                  <c:v>0.0185792236539376</c:v>
                </c:pt>
                <c:pt idx="194">
                  <c:v>0.01821957294513</c:v>
                </c:pt>
                <c:pt idx="195">
                  <c:v>0.017868909339575</c:v>
                </c:pt>
                <c:pt idx="196">
                  <c:v>0.0175269568964932</c:v>
                </c:pt>
                <c:pt idx="197">
                  <c:v>0.0171934496920758</c:v>
                </c:pt>
                <c:pt idx="198">
                  <c:v>0.0168681314018297</c:v>
                </c:pt>
                <c:pt idx="199">
                  <c:v>0.0165507549025096</c:v>
                </c:pt>
                <c:pt idx="200">
                  <c:v>0.0162410818926201</c:v>
                </c:pt>
                <c:pt idx="201">
                  <c:v>0.015938882530528</c:v>
                </c:pt>
                <c:pt idx="202">
                  <c:v>0.0156439350892798</c:v>
                </c:pt>
                <c:pt idx="203">
                  <c:v>0.0153560256272689</c:v>
                </c:pt>
                <c:pt idx="204">
                  <c:v>0.0150749476739471</c:v>
                </c:pt>
                <c:pt idx="205">
                  <c:v>0.0148005019298188</c:v>
                </c:pt>
                <c:pt idx="206">
                  <c:v>0.0145324959799978</c:v>
                </c:pt>
                <c:pt idx="207">
                  <c:v>0.0142707440206471</c:v>
                </c:pt>
                <c:pt idx="208">
                  <c:v>0.01401506659766</c:v>
                </c:pt>
                <c:pt idx="209">
                  <c:v>0.0137652903569745</c:v>
                </c:pt>
                <c:pt idx="210">
                  <c:v>0.013521247805947</c:v>
                </c:pt>
                <c:pt idx="211">
                  <c:v>0.0132827770852424</c:v>
                </c:pt>
                <c:pt idx="212">
                  <c:v>0.0130497217507256</c:v>
                </c:pt>
                <c:pt idx="213">
                  <c:v>0.0128219305648692</c:v>
                </c:pt>
                <c:pt idx="214">
                  <c:v>0.0125992572972163</c:v>
                </c:pt>
                <c:pt idx="215">
                  <c:v>0.0123815605334613</c:v>
                </c:pt>
                <c:pt idx="216">
                  <c:v>0.0121687034927385</c:v>
                </c:pt>
                <c:pt idx="217">
                  <c:v>0.0119605538527233</c:v>
                </c:pt>
                <c:pt idx="218">
                  <c:v>0.0117569835821783</c:v>
                </c:pt>
                <c:pt idx="219">
                  <c:v>0.011557868780591</c:v>
                </c:pt>
                <c:pt idx="220">
                  <c:v>0.0113630895245704</c:v>
                </c:pt>
                <c:pt idx="221">
                  <c:v>0.0111725297206858</c:v>
                </c:pt>
                <c:pt idx="222">
                  <c:v>0.0109860769644483</c:v>
                </c:pt>
                <c:pt idx="223">
                  <c:v>0.0108036224051501</c:v>
                </c:pt>
                <c:pt idx="224">
                  <c:v>0.0106250606162914</c:v>
                </c:pt>
                <c:pt idx="225">
                  <c:v>0.0104502894713387</c:v>
                </c:pt>
                <c:pt idx="226">
                  <c:v>0.0102792100245703</c:v>
                </c:pt>
                <c:pt idx="227">
                  <c:v>0.0101117263967782</c:v>
                </c:pt>
                <c:pt idx="228">
                  <c:v>0.00994774566560629</c:v>
                </c:pt>
                <c:pt idx="229">
                  <c:v>0.00978717776031618</c:v>
                </c:pt>
                <c:pt idx="230">
                  <c:v>0.00962993536078146</c:v>
                </c:pt>
                <c:pt idx="231">
                  <c:v>0.00947593380052238</c:v>
                </c:pt>
                <c:pt idx="232">
                  <c:v>0.00932509097360087</c:v>
                </c:pt>
                <c:pt idx="233">
                  <c:v>0.00917732724520527</c:v>
                </c:pt>
                <c:pt idx="234">
                  <c:v>0.00903256536576235</c:v>
                </c:pt>
                <c:pt idx="235">
                  <c:v>0.00889073038842172</c:v>
                </c:pt>
                <c:pt idx="236">
                  <c:v>0.00875174958976582</c:v>
                </c:pt>
                <c:pt idx="237">
                  <c:v>0.00861555239360493</c:v>
                </c:pt>
                <c:pt idx="238">
                  <c:v>0.00848207029772411</c:v>
                </c:pt>
                <c:pt idx="239">
                  <c:v>0.00835123680345466</c:v>
                </c:pt>
                <c:pt idx="240">
                  <c:v>0.00822298734794919</c:v>
                </c:pt>
                <c:pt idx="241">
                  <c:v>0.00809725923904484</c:v>
                </c:pt>
                <c:pt idx="242">
                  <c:v>0.00797399159260455</c:v>
                </c:pt>
                <c:pt idx="243">
                  <c:v>0.00785312527223178</c:v>
                </c:pt>
                <c:pt idx="244">
                  <c:v>0.00773460283125834</c:v>
                </c:pt>
                <c:pt idx="245">
                  <c:v>0.00761836845691037</c:v>
                </c:pt>
                <c:pt idx="246">
                  <c:v>0.00750436791656116</c:v>
                </c:pt>
                <c:pt idx="247">
                  <c:v>0.00739254850598423</c:v>
                </c:pt>
                <c:pt idx="248">
                  <c:v>0.00728285899952377</c:v>
                </c:pt>
                <c:pt idx="249">
                  <c:v>0.00717524960210344</c:v>
                </c:pt>
                <c:pt idx="250">
                  <c:v>0.00706967190299797</c:v>
                </c:pt>
                <c:pt idx="251">
                  <c:v>0.00696607883129563</c:v>
                </c:pt>
                <c:pt idx="252">
                  <c:v>0.00686442461298251</c:v>
                </c:pt>
                <c:pt idx="253">
                  <c:v>0.00676466472958321</c:v>
                </c:pt>
                <c:pt idx="254">
                  <c:v>0.00666675587829473</c:v>
                </c:pt>
                <c:pt idx="255">
                  <c:v>0.00657065593355384</c:v>
                </c:pt>
                <c:pt idx="256">
                  <c:v>0.00647632390998039</c:v>
                </c:pt>
                <c:pt idx="257">
                  <c:v>0.00638371992664173</c:v>
                </c:pt>
                <c:pt idx="258">
                  <c:v>0.00629280517258583</c:v>
                </c:pt>
                <c:pt idx="259">
                  <c:v>0.00620354187359291</c:v>
                </c:pt>
                <c:pt idx="260">
                  <c:v>0.00611589326009762</c:v>
                </c:pt>
                <c:pt idx="261">
                  <c:v>0.0060298235362358</c:v>
                </c:pt>
                <c:pt idx="262">
                  <c:v>0.00594529784997205</c:v>
                </c:pt>
                <c:pt idx="263">
                  <c:v>0.00586228226426586</c:v>
                </c:pt>
                <c:pt idx="264">
                  <c:v>0.00578074372923629</c:v>
                </c:pt>
                <c:pt idx="265">
                  <c:v>0.00570065005528649</c:v>
                </c:pt>
                <c:pt idx="266">
                  <c:v>0.00562196988715131</c:v>
                </c:pt>
                <c:pt idx="267">
                  <c:v>0.00554467267883253</c:v>
                </c:pt>
                <c:pt idx="268">
                  <c:v>0.00546872866938803</c:v>
                </c:pt>
                <c:pt idx="269">
                  <c:v>0.00539410885954237</c:v>
                </c:pt>
                <c:pt idx="270">
                  <c:v>0.00532078498908771</c:v>
                </c:pt>
              </c:numCache>
            </c:numRef>
          </c:yVal>
          <c:smooth val="0"/>
        </c:ser>
        <c:axId val="94098732"/>
        <c:axId val="25155581"/>
      </c:scatterChart>
      <c:valAx>
        <c:axId val="940987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[K]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5581"/>
        <c:crosses val="autoZero"/>
        <c:crossBetween val="midCat"/>
      </c:valAx>
      <c:valAx>
        <c:axId val="2515558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N2/N_total x 1e5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987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Limb darkening I(mu)/I(1)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"I(mu)/I(1)"</c:f>
              <c:strCache>
                <c:ptCount val="1"/>
                <c:pt idx="0">
                  <c:v>I(mu)/I(1)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'RT4 Eddington-Barbier'!$E$20:$E$40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'RT4 Eddington-Barbier'!$F$20:$F$40</c:f>
              <c:numCache>
                <c:formatCode>0.0000</c:formatCode>
                <c:ptCount val="21"/>
                <c:pt idx="0">
                  <c:v>0.4</c:v>
                </c:pt>
                <c:pt idx="1">
                  <c:v>0.43</c:v>
                </c:pt>
                <c:pt idx="2">
                  <c:v>0.46</c:v>
                </c:pt>
                <c:pt idx="3">
                  <c:v>0.49</c:v>
                </c:pt>
                <c:pt idx="4">
                  <c:v>0.52</c:v>
                </c:pt>
                <c:pt idx="5">
                  <c:v>0.55</c:v>
                </c:pt>
                <c:pt idx="6">
                  <c:v>0.58</c:v>
                </c:pt>
                <c:pt idx="7">
                  <c:v>0.61</c:v>
                </c:pt>
                <c:pt idx="8">
                  <c:v>0.64</c:v>
                </c:pt>
                <c:pt idx="9">
                  <c:v>0.67</c:v>
                </c:pt>
                <c:pt idx="10">
                  <c:v>0.7</c:v>
                </c:pt>
                <c:pt idx="11">
                  <c:v>0.73</c:v>
                </c:pt>
                <c:pt idx="12">
                  <c:v>0.76</c:v>
                </c:pt>
                <c:pt idx="13">
                  <c:v>0.79</c:v>
                </c:pt>
                <c:pt idx="14">
                  <c:v>0.82</c:v>
                </c:pt>
                <c:pt idx="15">
                  <c:v>0.85</c:v>
                </c:pt>
                <c:pt idx="16">
                  <c:v>0.88</c:v>
                </c:pt>
                <c:pt idx="17">
                  <c:v>0.91</c:v>
                </c:pt>
                <c:pt idx="18">
                  <c:v>0.94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0"/>
        </c:ser>
        <c:axId val="26976167"/>
        <c:axId val="7416438"/>
      </c:scatterChart>
      <c:valAx>
        <c:axId val="26976167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 = cos theta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6438"/>
        <c:crosses val="autoZero"/>
        <c:crossBetween val="midCat"/>
      </c:valAx>
      <c:valAx>
        <c:axId val="74164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I(mu)/I(1)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761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function S(tau)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"S(tau)"</c:f>
              <c:strCache>
                <c:ptCount val="1"/>
                <c:pt idx="0">
                  <c:v>S(tau)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'RT4 Eddington-Barbier'!$H$20:$H$60</c:f>
              <c:numCache>
                <c:formatCode>0.000</c:formatCode>
                <c:ptCount val="41"/>
                <c:pt idx="0">
                  <c:v>0</c:v>
                </c:pt>
                <c:pt idx="1">
                  <c:v>0.075</c:v>
                </c:pt>
                <c:pt idx="2">
                  <c:v>0.15</c:v>
                </c:pt>
                <c:pt idx="3">
                  <c:v>0.225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</c:v>
                </c:pt>
                <c:pt idx="8">
                  <c:v>0.6</c:v>
                </c:pt>
                <c:pt idx="9">
                  <c:v>0.675</c:v>
                </c:pt>
                <c:pt idx="10">
                  <c:v>0.75</c:v>
                </c:pt>
                <c:pt idx="11">
                  <c:v>0.825</c:v>
                </c:pt>
                <c:pt idx="12">
                  <c:v>0.9</c:v>
                </c:pt>
                <c:pt idx="13">
                  <c:v>0.975</c:v>
                </c:pt>
                <c:pt idx="14">
                  <c:v>1.05</c:v>
                </c:pt>
                <c:pt idx="15">
                  <c:v>1.125</c:v>
                </c:pt>
                <c:pt idx="16">
                  <c:v>1.2</c:v>
                </c:pt>
                <c:pt idx="17">
                  <c:v>1.275</c:v>
                </c:pt>
                <c:pt idx="18">
                  <c:v>1.35</c:v>
                </c:pt>
                <c:pt idx="19">
                  <c:v>1.425</c:v>
                </c:pt>
                <c:pt idx="20">
                  <c:v>1.5</c:v>
                </c:pt>
                <c:pt idx="21">
                  <c:v>1.575</c:v>
                </c:pt>
                <c:pt idx="22">
                  <c:v>1.65</c:v>
                </c:pt>
                <c:pt idx="23">
                  <c:v>1.725</c:v>
                </c:pt>
                <c:pt idx="24">
                  <c:v>1.8</c:v>
                </c:pt>
                <c:pt idx="25">
                  <c:v>1.875</c:v>
                </c:pt>
                <c:pt idx="26">
                  <c:v>1.95</c:v>
                </c:pt>
                <c:pt idx="27">
                  <c:v>2.025</c:v>
                </c:pt>
                <c:pt idx="28">
                  <c:v>2.1</c:v>
                </c:pt>
                <c:pt idx="29">
                  <c:v>2.175</c:v>
                </c:pt>
                <c:pt idx="30">
                  <c:v>2.25</c:v>
                </c:pt>
                <c:pt idx="31">
                  <c:v>2.325</c:v>
                </c:pt>
                <c:pt idx="32">
                  <c:v>2.4</c:v>
                </c:pt>
                <c:pt idx="33">
                  <c:v>2.475</c:v>
                </c:pt>
                <c:pt idx="34">
                  <c:v>2.55</c:v>
                </c:pt>
                <c:pt idx="35">
                  <c:v>2.625</c:v>
                </c:pt>
                <c:pt idx="36">
                  <c:v>2.7</c:v>
                </c:pt>
                <c:pt idx="37">
                  <c:v>2.775</c:v>
                </c:pt>
                <c:pt idx="38">
                  <c:v>2.85</c:v>
                </c:pt>
                <c:pt idx="39">
                  <c:v>2.925</c:v>
                </c:pt>
                <c:pt idx="40">
                  <c:v>3</c:v>
                </c:pt>
              </c:numCache>
            </c:numRef>
          </c:xVal>
          <c:yVal>
            <c:numRef>
              <c:f>'RT4 Eddington-Barbier'!$I$20:$I$60</c:f>
              <c:numCache>
                <c:formatCode>0.0000</c:formatCode>
                <c:ptCount val="41"/>
                <c:pt idx="0">
                  <c:v>0.4</c:v>
                </c:pt>
                <c:pt idx="1">
                  <c:v>0.445</c:v>
                </c:pt>
                <c:pt idx="2">
                  <c:v>0.49</c:v>
                </c:pt>
                <c:pt idx="3">
                  <c:v>0.535</c:v>
                </c:pt>
                <c:pt idx="4">
                  <c:v>0.58</c:v>
                </c:pt>
                <c:pt idx="5">
                  <c:v>0.625</c:v>
                </c:pt>
                <c:pt idx="6">
                  <c:v>0.67</c:v>
                </c:pt>
                <c:pt idx="7">
                  <c:v>0.715</c:v>
                </c:pt>
                <c:pt idx="8">
                  <c:v>0.76</c:v>
                </c:pt>
                <c:pt idx="9">
                  <c:v>0.805</c:v>
                </c:pt>
                <c:pt idx="10">
                  <c:v>0.85</c:v>
                </c:pt>
                <c:pt idx="11">
                  <c:v>0.895</c:v>
                </c:pt>
                <c:pt idx="12">
                  <c:v>0.94</c:v>
                </c:pt>
                <c:pt idx="13">
                  <c:v>0.985</c:v>
                </c:pt>
                <c:pt idx="14">
                  <c:v>1.03</c:v>
                </c:pt>
                <c:pt idx="15">
                  <c:v>1.075</c:v>
                </c:pt>
                <c:pt idx="16">
                  <c:v>1.12</c:v>
                </c:pt>
                <c:pt idx="17">
                  <c:v>1.165</c:v>
                </c:pt>
                <c:pt idx="18">
                  <c:v>1.21</c:v>
                </c:pt>
                <c:pt idx="19">
                  <c:v>1.255</c:v>
                </c:pt>
                <c:pt idx="20">
                  <c:v>1.3</c:v>
                </c:pt>
                <c:pt idx="21">
                  <c:v>1.345</c:v>
                </c:pt>
                <c:pt idx="22">
                  <c:v>1.39</c:v>
                </c:pt>
                <c:pt idx="23">
                  <c:v>1.435</c:v>
                </c:pt>
                <c:pt idx="24">
                  <c:v>1.48</c:v>
                </c:pt>
                <c:pt idx="25">
                  <c:v>1.525</c:v>
                </c:pt>
                <c:pt idx="26">
                  <c:v>1.57</c:v>
                </c:pt>
                <c:pt idx="27">
                  <c:v>1.615</c:v>
                </c:pt>
                <c:pt idx="28">
                  <c:v>1.66</c:v>
                </c:pt>
                <c:pt idx="29">
                  <c:v>1.705</c:v>
                </c:pt>
                <c:pt idx="30">
                  <c:v>1.75</c:v>
                </c:pt>
                <c:pt idx="31">
                  <c:v>1.795</c:v>
                </c:pt>
                <c:pt idx="32">
                  <c:v>1.84</c:v>
                </c:pt>
                <c:pt idx="33">
                  <c:v>1.885</c:v>
                </c:pt>
                <c:pt idx="34">
                  <c:v>1.93</c:v>
                </c:pt>
                <c:pt idx="35">
                  <c:v>1.975</c:v>
                </c:pt>
                <c:pt idx="36">
                  <c:v>2.02</c:v>
                </c:pt>
                <c:pt idx="37">
                  <c:v>2.065</c:v>
                </c:pt>
                <c:pt idx="38">
                  <c:v>2.11</c:v>
                </c:pt>
                <c:pt idx="39">
                  <c:v>2.155</c:v>
                </c:pt>
                <c:pt idx="40">
                  <c:v>2.2</c:v>
                </c:pt>
              </c:numCache>
            </c:numRef>
          </c:yVal>
          <c:smooth val="0"/>
        </c:ser>
        <c:axId val="10219871"/>
        <c:axId val="1885089"/>
      </c:scatterChart>
      <c:valAx>
        <c:axId val="102198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vertical optical depth tau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5089"/>
        <c:crosses val="autoZero"/>
        <c:crossBetween val="midCat"/>
      </c:valAx>
      <c:valAx>
        <c:axId val="1885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198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Weight: where the light at this mu comes from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"exp(-tau/mu)/mu"</c:f>
              <c:strCache>
                <c:ptCount val="1"/>
                <c:pt idx="0">
                  <c:v>exp(-tau/mu)/mu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'RT4 Eddington-Barbier'!$H$20:$H$60</c:f>
              <c:numCache>
                <c:formatCode>0.000</c:formatCode>
                <c:ptCount val="41"/>
                <c:pt idx="0">
                  <c:v>0</c:v>
                </c:pt>
                <c:pt idx="1">
                  <c:v>0.075</c:v>
                </c:pt>
                <c:pt idx="2">
                  <c:v>0.15</c:v>
                </c:pt>
                <c:pt idx="3">
                  <c:v>0.225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</c:v>
                </c:pt>
                <c:pt idx="8">
                  <c:v>0.6</c:v>
                </c:pt>
                <c:pt idx="9">
                  <c:v>0.675</c:v>
                </c:pt>
                <c:pt idx="10">
                  <c:v>0.75</c:v>
                </c:pt>
                <c:pt idx="11">
                  <c:v>0.825</c:v>
                </c:pt>
                <c:pt idx="12">
                  <c:v>0.9</c:v>
                </c:pt>
                <c:pt idx="13">
                  <c:v>0.975</c:v>
                </c:pt>
                <c:pt idx="14">
                  <c:v>1.05</c:v>
                </c:pt>
                <c:pt idx="15">
                  <c:v>1.125</c:v>
                </c:pt>
                <c:pt idx="16">
                  <c:v>1.2</c:v>
                </c:pt>
                <c:pt idx="17">
                  <c:v>1.275</c:v>
                </c:pt>
                <c:pt idx="18">
                  <c:v>1.35</c:v>
                </c:pt>
                <c:pt idx="19">
                  <c:v>1.425</c:v>
                </c:pt>
                <c:pt idx="20">
                  <c:v>1.5</c:v>
                </c:pt>
                <c:pt idx="21">
                  <c:v>1.575</c:v>
                </c:pt>
                <c:pt idx="22">
                  <c:v>1.65</c:v>
                </c:pt>
                <c:pt idx="23">
                  <c:v>1.725</c:v>
                </c:pt>
                <c:pt idx="24">
                  <c:v>1.8</c:v>
                </c:pt>
                <c:pt idx="25">
                  <c:v>1.875</c:v>
                </c:pt>
                <c:pt idx="26">
                  <c:v>1.95</c:v>
                </c:pt>
                <c:pt idx="27">
                  <c:v>2.025</c:v>
                </c:pt>
                <c:pt idx="28">
                  <c:v>2.1</c:v>
                </c:pt>
                <c:pt idx="29">
                  <c:v>2.175</c:v>
                </c:pt>
                <c:pt idx="30">
                  <c:v>2.25</c:v>
                </c:pt>
                <c:pt idx="31">
                  <c:v>2.325</c:v>
                </c:pt>
                <c:pt idx="32">
                  <c:v>2.4</c:v>
                </c:pt>
                <c:pt idx="33">
                  <c:v>2.475</c:v>
                </c:pt>
                <c:pt idx="34">
                  <c:v>2.55</c:v>
                </c:pt>
                <c:pt idx="35">
                  <c:v>2.625</c:v>
                </c:pt>
                <c:pt idx="36">
                  <c:v>2.7</c:v>
                </c:pt>
                <c:pt idx="37">
                  <c:v>2.775</c:v>
                </c:pt>
                <c:pt idx="38">
                  <c:v>2.85</c:v>
                </c:pt>
                <c:pt idx="39">
                  <c:v>2.925</c:v>
                </c:pt>
                <c:pt idx="40">
                  <c:v>3</c:v>
                </c:pt>
              </c:numCache>
            </c:numRef>
          </c:xVal>
          <c:yVal>
            <c:numRef>
              <c:f>'RT4 Eddington-Barbier'!$J$20:$J$60</c:f>
              <c:numCache>
                <c:formatCode>0.0000</c:formatCode>
                <c:ptCount val="41"/>
                <c:pt idx="0">
                  <c:v>2</c:v>
                </c:pt>
                <c:pt idx="1">
                  <c:v>1.72141595285012</c:v>
                </c:pt>
                <c:pt idx="2">
                  <c:v>1.48163644136344</c:v>
                </c:pt>
                <c:pt idx="3">
                  <c:v>1.27525630324355</c:v>
                </c:pt>
                <c:pt idx="4">
                  <c:v>1.09762327218805</c:v>
                </c:pt>
                <c:pt idx="5">
                  <c:v>0.944733105482029</c:v>
                </c:pt>
                <c:pt idx="6">
                  <c:v>0.813139319481198</c:v>
                </c:pt>
                <c:pt idx="7">
                  <c:v>0.699875498222311</c:v>
                </c:pt>
                <c:pt idx="8">
                  <c:v>0.602388423824404</c:v>
                </c:pt>
                <c:pt idx="9">
                  <c:v>0.518480521291783</c:v>
                </c:pt>
                <c:pt idx="10">
                  <c:v>0.44626032029686</c:v>
                </c:pt>
                <c:pt idx="11">
                  <c:v>0.384099817241508</c:v>
                </c:pt>
                <c:pt idx="12">
                  <c:v>0.330597776443173</c:v>
                </c:pt>
                <c:pt idx="13">
                  <c:v>0.284548143173027</c:v>
                </c:pt>
                <c:pt idx="14">
                  <c:v>0.244912856505964</c:v>
                </c:pt>
                <c:pt idx="15">
                  <c:v>0.210798449123729</c:v>
                </c:pt>
                <c:pt idx="16">
                  <c:v>0.181435906578825</c:v>
                </c:pt>
                <c:pt idx="17">
                  <c:v>0.156163332002306</c:v>
                </c:pt>
                <c:pt idx="18">
                  <c:v>0.1344110254795</c:v>
                </c:pt>
                <c:pt idx="19">
                  <c:v>0.115688641749677</c:v>
                </c:pt>
                <c:pt idx="20">
                  <c:v>0.0995741367357279</c:v>
                </c:pt>
                <c:pt idx="21">
                  <c:v>0.0857042537340804</c:v>
                </c:pt>
                <c:pt idx="22">
                  <c:v>0.07376633480248</c:v>
                </c:pt>
                <c:pt idx="23">
                  <c:v>0.0634912727561359</c:v>
                </c:pt>
                <c:pt idx="24">
                  <c:v>0.0546474448945851</c:v>
                </c:pt>
                <c:pt idx="25">
                  <c:v>0.0470354917120182</c:v>
                </c:pt>
                <c:pt idx="26">
                  <c:v>0.0404838228916088</c:v>
                </c:pt>
                <c:pt idx="27">
                  <c:v>0.034844749278987</c:v>
                </c:pt>
                <c:pt idx="28">
                  <c:v>0.0299911536409554</c:v>
                </c:pt>
                <c:pt idx="29">
                  <c:v>0.0258136251609597</c:v>
                </c:pt>
                <c:pt idx="30">
                  <c:v>0.0222179930764846</c:v>
                </c:pt>
                <c:pt idx="31">
                  <c:v>0.019123203861087</c:v>
                </c:pt>
                <c:pt idx="32">
                  <c:v>0.0164594940980401</c:v>
                </c:pt>
                <c:pt idx="33">
                  <c:v>0.0141668178581042</c:v>
                </c:pt>
                <c:pt idx="34">
                  <c:v>0.0121934931310313</c:v>
                </c:pt>
                <c:pt idx="35">
                  <c:v>0.0104950367983628</c:v>
                </c:pt>
                <c:pt idx="36">
                  <c:v>0.00903316188522533</c:v>
                </c:pt>
                <c:pt idx="37">
                  <c:v>0.00777491448695226</c:v>
                </c:pt>
                <c:pt idx="38">
                  <c:v>0.00669193091494254</c:v>
                </c:pt>
                <c:pt idx="39">
                  <c:v>0.00575979831617649</c:v>
                </c:pt>
                <c:pt idx="40">
                  <c:v>0.00495750435333272</c:v>
                </c:pt>
              </c:numCache>
            </c:numRef>
          </c:yVal>
          <c:smooth val="0"/>
        </c:ser>
        <c:axId val="17045295"/>
        <c:axId val="57552872"/>
      </c:scatterChart>
      <c:valAx>
        <c:axId val="170452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vertical optical depth tau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52872"/>
        <c:crosses val="autoZero"/>
        <c:crossBetween val="midCat"/>
      </c:valAx>
      <c:valAx>
        <c:axId val="57552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452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function in an isothermal scattering atmosphere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"S/B"</c:f>
              <c:strCache>
                <c:ptCount val="1"/>
                <c:pt idx="0">
                  <c:v>S/B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'RT4 Scattering'!$E$17:$E$69</c:f>
              <c:numCache>
                <c:formatCode>0.000E+00</c:formatCode>
                <c:ptCount val="53"/>
                <c:pt idx="0">
                  <c:v>0.001</c:v>
                </c:pt>
                <c:pt idx="1">
                  <c:v>0.00133352143216332</c:v>
                </c:pt>
                <c:pt idx="2">
                  <c:v>0.00177827941003892</c:v>
                </c:pt>
                <c:pt idx="3">
                  <c:v>0.00237137370566166</c:v>
                </c:pt>
                <c:pt idx="4">
                  <c:v>0.00316227766016838</c:v>
                </c:pt>
                <c:pt idx="5">
                  <c:v>0.00421696503428582</c:v>
                </c:pt>
                <c:pt idx="6">
                  <c:v>0.00562341325190349</c:v>
                </c:pt>
                <c:pt idx="7">
                  <c:v>0.00749894209332456</c:v>
                </c:pt>
                <c:pt idx="8">
                  <c:v>0.01</c:v>
                </c:pt>
                <c:pt idx="9">
                  <c:v>0.0133352143216332</c:v>
                </c:pt>
                <c:pt idx="10">
                  <c:v>0.0177827941003892</c:v>
                </c:pt>
                <c:pt idx="11">
                  <c:v>0.0237137370566166</c:v>
                </c:pt>
                <c:pt idx="12">
                  <c:v>0.0316227766016838</c:v>
                </c:pt>
                <c:pt idx="13">
                  <c:v>0.0421696503428582</c:v>
                </c:pt>
                <c:pt idx="14">
                  <c:v>0.0562341325190349</c:v>
                </c:pt>
                <c:pt idx="15">
                  <c:v>0.0749894209332456</c:v>
                </c:pt>
                <c:pt idx="16">
                  <c:v>0.1</c:v>
                </c:pt>
                <c:pt idx="17">
                  <c:v>0.133352143216332</c:v>
                </c:pt>
                <c:pt idx="18">
                  <c:v>0.177827941003892</c:v>
                </c:pt>
                <c:pt idx="19">
                  <c:v>0.237137370566166</c:v>
                </c:pt>
                <c:pt idx="20">
                  <c:v>0.316227766016838</c:v>
                </c:pt>
                <c:pt idx="21">
                  <c:v>0.421696503428582</c:v>
                </c:pt>
                <c:pt idx="22">
                  <c:v>0.562341325190349</c:v>
                </c:pt>
                <c:pt idx="23">
                  <c:v>0.749894209332456</c:v>
                </c:pt>
                <c:pt idx="24">
                  <c:v>1</c:v>
                </c:pt>
                <c:pt idx="25">
                  <c:v>1.33352143216332</c:v>
                </c:pt>
                <c:pt idx="26">
                  <c:v>1.77827941003892</c:v>
                </c:pt>
                <c:pt idx="27">
                  <c:v>2.37137370566166</c:v>
                </c:pt>
                <c:pt idx="28">
                  <c:v>3.16227766016838</c:v>
                </c:pt>
                <c:pt idx="29">
                  <c:v>4.21696503428582</c:v>
                </c:pt>
                <c:pt idx="30">
                  <c:v>5.62341325190349</c:v>
                </c:pt>
                <c:pt idx="31">
                  <c:v>7.49894209332456</c:v>
                </c:pt>
                <c:pt idx="32">
                  <c:v>10</c:v>
                </c:pt>
                <c:pt idx="33">
                  <c:v>13.3352143216332</c:v>
                </c:pt>
                <c:pt idx="34">
                  <c:v>17.7827941003892</c:v>
                </c:pt>
                <c:pt idx="35">
                  <c:v>23.7137370566166</c:v>
                </c:pt>
                <c:pt idx="36">
                  <c:v>31.6227766016838</c:v>
                </c:pt>
                <c:pt idx="37">
                  <c:v>42.1696503428582</c:v>
                </c:pt>
                <c:pt idx="38">
                  <c:v>56.2341325190349</c:v>
                </c:pt>
                <c:pt idx="39">
                  <c:v>74.9894209332456</c:v>
                </c:pt>
                <c:pt idx="40">
                  <c:v>100</c:v>
                </c:pt>
                <c:pt idx="41">
                  <c:v>133.352143216332</c:v>
                </c:pt>
                <c:pt idx="42">
                  <c:v>177.827941003892</c:v>
                </c:pt>
                <c:pt idx="43">
                  <c:v>237.137370566166</c:v>
                </c:pt>
                <c:pt idx="44">
                  <c:v>316.227766016838</c:v>
                </c:pt>
                <c:pt idx="45">
                  <c:v>421.696503428582</c:v>
                </c:pt>
                <c:pt idx="46">
                  <c:v>562.341325190349</c:v>
                </c:pt>
                <c:pt idx="47">
                  <c:v>749.894209332456</c:v>
                </c:pt>
                <c:pt idx="48">
                  <c:v>1000</c:v>
                </c:pt>
                <c:pt idx="49">
                  <c:v>1333.52143216332</c:v>
                </c:pt>
                <c:pt idx="50">
                  <c:v>1778.27941003892</c:v>
                </c:pt>
                <c:pt idx="51">
                  <c:v>2371.37370566166</c:v>
                </c:pt>
                <c:pt idx="52">
                  <c:v>3162.27766016838</c:v>
                </c:pt>
              </c:numCache>
            </c:numRef>
          </c:xVal>
          <c:yVal>
            <c:numRef>
              <c:f>'RT4 Scattering'!$F$17:$F$69</c:f>
              <c:numCache>
                <c:formatCode>0.0000</c:formatCode>
                <c:ptCount val="53"/>
                <c:pt idx="0">
                  <c:v>0.112635486346267</c:v>
                </c:pt>
                <c:pt idx="1">
                  <c:v>0.112686745789814</c:v>
                </c:pt>
                <c:pt idx="2">
                  <c:v>0.112755096749315</c:v>
                </c:pt>
                <c:pt idx="3">
                  <c:v>0.112846236026711</c:v>
                </c:pt>
                <c:pt idx="4">
                  <c:v>0.11296775764029</c:v>
                </c:pt>
                <c:pt idx="5">
                  <c:v>0.113129783417448</c:v>
                </c:pt>
                <c:pt idx="6">
                  <c:v>0.113345802216803</c:v>
                </c:pt>
                <c:pt idx="7">
                  <c:v>0.113633786051474</c:v>
                </c:pt>
                <c:pt idx="8">
                  <c:v>0.114017673138621</c:v>
                </c:pt>
                <c:pt idx="9">
                  <c:v>0.114529336121718</c:v>
                </c:pt>
                <c:pt idx="10">
                  <c:v>0.11521118995207</c:v>
                </c:pt>
                <c:pt idx="11">
                  <c:v>0.116119639778338</c:v>
                </c:pt>
                <c:pt idx="12">
                  <c:v>0.11732962600126</c:v>
                </c:pt>
                <c:pt idx="13">
                  <c:v>0.118940591748279</c:v>
                </c:pt>
                <c:pt idx="14">
                  <c:v>0.12108427539809</c:v>
                </c:pt>
                <c:pt idx="15">
                  <c:v>0.123934810507896</c:v>
                </c:pt>
                <c:pt idx="16">
                  <c:v>0.12772168110488</c:v>
                </c:pt>
                <c:pt idx="17">
                  <c:v>0.132746097782585</c:v>
                </c:pt>
                <c:pt idx="18">
                  <c:v>0.139401264377323</c:v>
                </c:pt>
                <c:pt idx="19">
                  <c:v>0.148196678658245</c:v>
                </c:pt>
                <c:pt idx="20">
                  <c:v>0.159785851233111</c:v>
                </c:pt>
                <c:pt idx="21">
                  <c:v>0.174995305044693</c:v>
                </c:pt>
                <c:pt idx="22">
                  <c:v>0.194849932368914</c:v>
                </c:pt>
                <c:pt idx="23">
                  <c:v>0.220585055552672</c:v>
                </c:pt>
                <c:pt idx="24">
                  <c:v>0.253628120975012</c:v>
                </c:pt>
                <c:pt idx="25">
                  <c:v>0.295522518688803</c:v>
                </c:pt>
                <c:pt idx="26">
                  <c:v>0.347753847439397</c:v>
                </c:pt>
                <c:pt idx="27">
                  <c:v>0.411430462727716</c:v>
                </c:pt>
                <c:pt idx="28">
                  <c:v>0.486779028239582</c:v>
                </c:pt>
                <c:pt idx="29">
                  <c:v>0.572467937830163</c:v>
                </c:pt>
                <c:pt idx="30">
                  <c:v>0.664901235532839</c:v>
                </c:pt>
                <c:pt idx="31">
                  <c:v>0.757845928361253</c:v>
                </c:pt>
                <c:pt idx="32">
                  <c:v>0.842979205356565</c:v>
                </c:pt>
                <c:pt idx="33">
                  <c:v>0.911879765716664</c:v>
                </c:pt>
                <c:pt idx="34">
                  <c:v>0.959213189142055</c:v>
                </c:pt>
                <c:pt idx="35">
                  <c:v>0.985399010328067</c:v>
                </c:pt>
                <c:pt idx="36">
                  <c:v>0.996289363300343</c:v>
                </c:pt>
                <c:pt idx="37">
                  <c:v>0.999402839070952</c:v>
                </c:pt>
                <c:pt idx="38">
                  <c:v>0.999947744410101</c:v>
                </c:pt>
                <c:pt idx="39">
                  <c:v>0.99999797081218</c:v>
                </c:pt>
                <c:pt idx="40">
                  <c:v>0.999999973332875</c:v>
                </c:pt>
                <c:pt idx="41">
                  <c:v>0.999999999917366</c:v>
                </c:pt>
                <c:pt idx="42">
                  <c:v>0.999999999999963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"J/B"</c:f>
              <c:strCache>
                <c:ptCount val="1"/>
                <c:pt idx="0">
                  <c:v>J/B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'RT4 Scattering'!$E$17:$E$69</c:f>
              <c:numCache>
                <c:formatCode>0.000E+00</c:formatCode>
                <c:ptCount val="53"/>
                <c:pt idx="0">
                  <c:v>0.001</c:v>
                </c:pt>
                <c:pt idx="1">
                  <c:v>0.00133352143216332</c:v>
                </c:pt>
                <c:pt idx="2">
                  <c:v>0.00177827941003892</c:v>
                </c:pt>
                <c:pt idx="3">
                  <c:v>0.00237137370566166</c:v>
                </c:pt>
                <c:pt idx="4">
                  <c:v>0.00316227766016838</c:v>
                </c:pt>
                <c:pt idx="5">
                  <c:v>0.00421696503428582</c:v>
                </c:pt>
                <c:pt idx="6">
                  <c:v>0.00562341325190349</c:v>
                </c:pt>
                <c:pt idx="7">
                  <c:v>0.00749894209332456</c:v>
                </c:pt>
                <c:pt idx="8">
                  <c:v>0.01</c:v>
                </c:pt>
                <c:pt idx="9">
                  <c:v>0.0133352143216332</c:v>
                </c:pt>
                <c:pt idx="10">
                  <c:v>0.0177827941003892</c:v>
                </c:pt>
                <c:pt idx="11">
                  <c:v>0.0237137370566166</c:v>
                </c:pt>
                <c:pt idx="12">
                  <c:v>0.0316227766016838</c:v>
                </c:pt>
                <c:pt idx="13">
                  <c:v>0.0421696503428582</c:v>
                </c:pt>
                <c:pt idx="14">
                  <c:v>0.0562341325190349</c:v>
                </c:pt>
                <c:pt idx="15">
                  <c:v>0.0749894209332456</c:v>
                </c:pt>
                <c:pt idx="16">
                  <c:v>0.1</c:v>
                </c:pt>
                <c:pt idx="17">
                  <c:v>0.133352143216332</c:v>
                </c:pt>
                <c:pt idx="18">
                  <c:v>0.177827941003892</c:v>
                </c:pt>
                <c:pt idx="19">
                  <c:v>0.237137370566166</c:v>
                </c:pt>
                <c:pt idx="20">
                  <c:v>0.316227766016838</c:v>
                </c:pt>
                <c:pt idx="21">
                  <c:v>0.421696503428582</c:v>
                </c:pt>
                <c:pt idx="22">
                  <c:v>0.562341325190349</c:v>
                </c:pt>
                <c:pt idx="23">
                  <c:v>0.749894209332456</c:v>
                </c:pt>
                <c:pt idx="24">
                  <c:v>1</c:v>
                </c:pt>
                <c:pt idx="25">
                  <c:v>1.33352143216332</c:v>
                </c:pt>
                <c:pt idx="26">
                  <c:v>1.77827941003892</c:v>
                </c:pt>
                <c:pt idx="27">
                  <c:v>2.37137370566166</c:v>
                </c:pt>
                <c:pt idx="28">
                  <c:v>3.16227766016838</c:v>
                </c:pt>
                <c:pt idx="29">
                  <c:v>4.21696503428582</c:v>
                </c:pt>
                <c:pt idx="30">
                  <c:v>5.62341325190349</c:v>
                </c:pt>
                <c:pt idx="31">
                  <c:v>7.49894209332456</c:v>
                </c:pt>
                <c:pt idx="32">
                  <c:v>10</c:v>
                </c:pt>
                <c:pt idx="33">
                  <c:v>13.3352143216332</c:v>
                </c:pt>
                <c:pt idx="34">
                  <c:v>17.7827941003892</c:v>
                </c:pt>
                <c:pt idx="35">
                  <c:v>23.7137370566166</c:v>
                </c:pt>
                <c:pt idx="36">
                  <c:v>31.6227766016838</c:v>
                </c:pt>
                <c:pt idx="37">
                  <c:v>42.1696503428582</c:v>
                </c:pt>
                <c:pt idx="38">
                  <c:v>56.2341325190349</c:v>
                </c:pt>
                <c:pt idx="39">
                  <c:v>74.9894209332456</c:v>
                </c:pt>
                <c:pt idx="40">
                  <c:v>100</c:v>
                </c:pt>
                <c:pt idx="41">
                  <c:v>133.352143216332</c:v>
                </c:pt>
                <c:pt idx="42">
                  <c:v>177.827941003892</c:v>
                </c:pt>
                <c:pt idx="43">
                  <c:v>237.137370566166</c:v>
                </c:pt>
                <c:pt idx="44">
                  <c:v>316.227766016838</c:v>
                </c:pt>
                <c:pt idx="45">
                  <c:v>421.696503428582</c:v>
                </c:pt>
                <c:pt idx="46">
                  <c:v>562.341325190349</c:v>
                </c:pt>
                <c:pt idx="47">
                  <c:v>749.894209332456</c:v>
                </c:pt>
                <c:pt idx="48">
                  <c:v>1000</c:v>
                </c:pt>
                <c:pt idx="49">
                  <c:v>1333.52143216332</c:v>
                </c:pt>
                <c:pt idx="50">
                  <c:v>1778.27941003892</c:v>
                </c:pt>
                <c:pt idx="51">
                  <c:v>2371.37370566166</c:v>
                </c:pt>
                <c:pt idx="52">
                  <c:v>3162.27766016838</c:v>
                </c:pt>
              </c:numCache>
            </c:numRef>
          </c:xVal>
          <c:yVal>
            <c:numRef>
              <c:f>'RT4 Scattering'!$G$17:$G$69</c:f>
              <c:numCache>
                <c:formatCode>0.0000</c:formatCode>
                <c:ptCount val="53"/>
                <c:pt idx="0">
                  <c:v>0.103672208430573</c:v>
                </c:pt>
                <c:pt idx="1">
                  <c:v>0.103723985646277</c:v>
                </c:pt>
                <c:pt idx="2">
                  <c:v>0.10379302701951</c:v>
                </c:pt>
                <c:pt idx="3">
                  <c:v>0.103885086895667</c:v>
                </c:pt>
                <c:pt idx="4">
                  <c:v>0.104007836000293</c:v>
                </c:pt>
                <c:pt idx="5">
                  <c:v>0.104171498401463</c:v>
                </c:pt>
                <c:pt idx="6">
                  <c:v>0.104389699208892</c:v>
                </c:pt>
                <c:pt idx="7">
                  <c:v>0.104680591971186</c:v>
                </c:pt>
                <c:pt idx="8">
                  <c:v>0.105068356705678</c:v>
                </c:pt>
                <c:pt idx="9">
                  <c:v>0.105585188001736</c:v>
                </c:pt>
                <c:pt idx="10">
                  <c:v>0.106273929244515</c:v>
                </c:pt>
                <c:pt idx="11">
                  <c:v>0.107191555331655</c:v>
                </c:pt>
                <c:pt idx="12">
                  <c:v>0.108413763637636</c:v>
                </c:pt>
                <c:pt idx="13">
                  <c:v>0.110041001765938</c:v>
                </c:pt>
                <c:pt idx="14">
                  <c:v>0.112206338785949</c:v>
                </c:pt>
                <c:pt idx="15">
                  <c:v>0.115085667179693</c:v>
                </c:pt>
                <c:pt idx="16">
                  <c:v>0.118910788994828</c:v>
                </c:pt>
                <c:pt idx="17">
                  <c:v>0.123985957356147</c:v>
                </c:pt>
                <c:pt idx="18">
                  <c:v>0.130708347855882</c:v>
                </c:pt>
                <c:pt idx="19">
                  <c:v>0.139592604705298</c:v>
                </c:pt>
                <c:pt idx="20">
                  <c:v>0.151298839629405</c:v>
                </c:pt>
                <c:pt idx="21">
                  <c:v>0.166661924287569</c:v>
                </c:pt>
                <c:pt idx="22">
                  <c:v>0.186717103402943</c:v>
                </c:pt>
                <c:pt idx="23">
                  <c:v>0.212712177325931</c:v>
                </c:pt>
                <c:pt idx="24">
                  <c:v>0.246089011085871</c:v>
                </c:pt>
                <c:pt idx="25">
                  <c:v>0.288406584534144</c:v>
                </c:pt>
                <c:pt idx="26">
                  <c:v>0.341165502464038</c:v>
                </c:pt>
                <c:pt idx="27">
                  <c:v>0.405485315886581</c:v>
                </c:pt>
                <c:pt idx="28">
                  <c:v>0.48159497801978</c:v>
                </c:pt>
                <c:pt idx="29">
                  <c:v>0.56814943215168</c:v>
                </c:pt>
                <c:pt idx="30">
                  <c:v>0.66151639952812</c:v>
                </c:pt>
                <c:pt idx="31">
                  <c:v>0.755399927637629</c:v>
                </c:pt>
                <c:pt idx="32">
                  <c:v>0.841393136723803</c:v>
                </c:pt>
                <c:pt idx="33">
                  <c:v>0.910989662340065</c:v>
                </c:pt>
                <c:pt idx="34">
                  <c:v>0.958801201153591</c:v>
                </c:pt>
                <c:pt idx="35">
                  <c:v>0.985251525583906</c:v>
                </c:pt>
                <c:pt idx="36">
                  <c:v>0.996251882121559</c:v>
                </c:pt>
                <c:pt idx="37">
                  <c:v>0.999396807142375</c:v>
                </c:pt>
                <c:pt idx="38">
                  <c:v>0.99994721657586</c:v>
                </c:pt>
                <c:pt idx="39">
                  <c:v>0.999997950315333</c:v>
                </c:pt>
                <c:pt idx="40">
                  <c:v>0.99999997306351</c:v>
                </c:pt>
                <c:pt idx="41">
                  <c:v>0.999999999916531</c:v>
                </c:pt>
                <c:pt idx="42">
                  <c:v>0.999999999999962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yVal>
          <c:smooth val="0"/>
        </c:ser>
        <c:axId val="57148572"/>
        <c:axId val="83867156"/>
      </c:scatterChart>
      <c:valAx>
        <c:axId val="5714857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optical depth tau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67156"/>
        <c:crosses val="autoZero"/>
        <c:crossBetween val="midCat"/>
      </c:valAx>
      <c:valAx>
        <c:axId val="8386715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S/B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4857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Temperature structure: exact vs Eddington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"exact (Hopf)"</c:f>
              <c:strCache>
                <c:ptCount val="1"/>
                <c:pt idx="0">
                  <c:v>exact (Hopf)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atmosphere'!$E$32:$E$101</c:f>
              <c:numCache>
                <c:formatCode>0.000E+00</c:formatCode>
                <c:ptCount val="70"/>
                <c:pt idx="0">
                  <c:v>0.001</c:v>
                </c:pt>
                <c:pt idx="1">
                  <c:v>0.00116114328588683</c:v>
                </c:pt>
                <c:pt idx="2">
                  <c:v>0.00134825373036006</c:v>
                </c:pt>
                <c:pt idx="3">
                  <c:v>0.00156551576667946</c:v>
                </c:pt>
                <c:pt idx="4">
                  <c:v>0.00181778812142982</c:v>
                </c:pt>
                <c:pt idx="5">
                  <c:v>0.00211071247236307</c:v>
                </c:pt>
                <c:pt idx="6">
                  <c:v>0.00245083961572197</c:v>
                </c:pt>
                <c:pt idx="7">
                  <c:v>0.00284577596458102</c:v>
                </c:pt>
                <c:pt idx="8">
                  <c:v>0.00330435365441136</c:v>
                </c:pt>
                <c:pt idx="9">
                  <c:v>0.00383682806001536</c:v>
                </c:pt>
                <c:pt idx="10">
                  <c:v>0.00445510714098902</c:v>
                </c:pt>
                <c:pt idx="11">
                  <c:v>0.00517301774466587</c:v>
                </c:pt>
                <c:pt idx="12">
                  <c:v>0.00600661482199219</c:v>
                </c:pt>
                <c:pt idx="13">
                  <c:v>0.00697454047146454</c:v>
                </c:pt>
                <c:pt idx="14">
                  <c:v>0.00809844084058701</c:v>
                </c:pt>
                <c:pt idx="15">
                  <c:v>0.00940345020819929</c:v>
                </c:pt>
                <c:pt idx="16">
                  <c:v>0.0109187530734217</c:v>
                </c:pt>
                <c:pt idx="17">
                  <c:v>0.0126782368214598</c:v>
                </c:pt>
                <c:pt idx="18">
                  <c:v>0.0147212495621212</c:v>
                </c:pt>
                <c:pt idx="19">
                  <c:v>0.0170934800889215</c:v>
                </c:pt>
                <c:pt idx="20">
                  <c:v>0.0198479796376913</c:v>
                </c:pt>
                <c:pt idx="21">
                  <c:v>0.0230463482947238</c:v>
                </c:pt>
                <c:pt idx="22">
                  <c:v>0.0267601125866279</c:v>
                </c:pt>
                <c:pt idx="23">
                  <c:v>0.0310723250595386</c:v>
                </c:pt>
                <c:pt idx="24">
                  <c:v>0.0360794216197763</c:v>
                </c:pt>
                <c:pt idx="25">
                  <c:v>0.0418933781724833</c:v>
                </c:pt>
                <c:pt idx="26">
                  <c:v>0.0486442147880968</c:v>
                </c:pt>
                <c:pt idx="27">
                  <c:v>0.0564829033984354</c:v>
                </c:pt>
                <c:pt idx="28">
                  <c:v>0.0655847440484876</c:v>
                </c:pt>
                <c:pt idx="29">
                  <c:v>0.0761532852085076</c:v>
                </c:pt>
                <c:pt idx="30">
                  <c:v>0.0884248758180833</c:v>
                </c:pt>
                <c:pt idx="31">
                  <c:v>0.102673950861544</c:v>
                </c:pt>
                <c:pt idx="32">
                  <c:v>0.119219168678356</c:v>
                </c:pt>
                <c:pt idx="33">
                  <c:v>0.138430537259882</c:v>
                </c:pt>
                <c:pt idx="34">
                  <c:v>0.160737688901019</c:v>
                </c:pt>
                <c:pt idx="35">
                  <c:v>0.186639488256384</c:v>
                </c:pt>
                <c:pt idx="36">
                  <c:v>0.216715188670254</c:v>
                </c:pt>
                <c:pt idx="37">
                  <c:v>0.251637386274163</c:v>
                </c:pt>
                <c:pt idx="38">
                  <c:v>0.292187061550354</c:v>
                </c:pt>
                <c:pt idx="39">
                  <c:v>0.339271044742195</c:v>
                </c:pt>
                <c:pt idx="40">
                  <c:v>0.39394229569821</c:v>
                </c:pt>
                <c:pt idx="41">
                  <c:v>0.45742345167682</c:v>
                </c:pt>
                <c:pt idx="42">
                  <c:v>0.531134169721718</c:v>
                </c:pt>
                <c:pt idx="43">
                  <c:v>0.616722875077448</c:v>
                </c:pt>
                <c:pt idx="44">
                  <c:v>0.716103625649</c:v>
                </c:pt>
                <c:pt idx="45">
                  <c:v>0.831498916921552</c:v>
                </c:pt>
                <c:pt idx="46">
                  <c:v>0.965489384605629</c:v>
                </c:pt>
                <c:pt idx="47">
                  <c:v>1.12107151652983</c:v>
                </c:pt>
                <c:pt idx="48">
                  <c:v>1.30172466441758</c:v>
                </c:pt>
                <c:pt idx="49">
                  <c:v>1.51148885416176</c:v>
                </c:pt>
                <c:pt idx="50">
                  <c:v>1.7550551347027</c:v>
                </c:pt>
                <c:pt idx="51">
                  <c:v>2.03787048602125</c:v>
                </c:pt>
                <c:pt idx="52">
                  <c:v>2.3662596323505</c:v>
                </c:pt>
                <c:pt idx="53">
                  <c:v>2.74756648476882</c:v>
                </c:pt>
                <c:pt idx="54">
                  <c:v>3.19031837631699</c:v>
                </c:pt>
                <c:pt idx="55">
                  <c:v>3.70441676250184</c:v>
                </c:pt>
                <c:pt idx="56">
                  <c:v>4.30135865190564</c:v>
                </c:pt>
                <c:pt idx="57">
                  <c:v>4.99449371885145</c:v>
                </c:pt>
                <c:pt idx="58">
                  <c:v>5.79932284804829</c:v>
                </c:pt>
                <c:pt idx="59">
                  <c:v>6.73384478770136</c:v>
                </c:pt>
                <c:pt idx="60">
                  <c:v>7.81895866344345</c:v>
                </c:pt>
                <c:pt idx="61">
                  <c:v>9.07893135468401</c:v>
                </c:pt>
                <c:pt idx="62">
                  <c:v>10.5419401855188</c:v>
                </c:pt>
                <c:pt idx="63">
                  <c:v>12.2407030666357</c:v>
                </c:pt>
                <c:pt idx="64">
                  <c:v>14.2132101803583</c:v>
                </c:pt>
                <c:pt idx="65">
                  <c:v>16.5035735718214</c:v>
                </c:pt>
                <c:pt idx="66">
                  <c:v>19.1630136460597</c:v>
                </c:pt>
                <c:pt idx="67">
                  <c:v>22.2510046324799</c:v>
                </c:pt>
                <c:pt idx="68">
                  <c:v>25.8366046332408</c:v>
                </c:pt>
                <c:pt idx="69">
                  <c:v>30</c:v>
                </c:pt>
              </c:numCache>
            </c:numRef>
          </c:xVal>
          <c:yVal>
            <c:numRef>
              <c:f>'SA4 Gray atmosphere'!$I$32:$I$101</c:f>
              <c:numCache>
                <c:formatCode>0</c:formatCode>
                <c:ptCount val="70"/>
                <c:pt idx="0">
                  <c:v>4687.69102634296</c:v>
                </c:pt>
                <c:pt idx="1">
                  <c:v>4688.48134699371</c:v>
                </c:pt>
                <c:pt idx="2">
                  <c:v>4689.38255750344</c:v>
                </c:pt>
                <c:pt idx="3">
                  <c:v>4690.40986124708</c:v>
                </c:pt>
                <c:pt idx="4">
                  <c:v>4691.58047834856</c:v>
                </c:pt>
                <c:pt idx="5">
                  <c:v>4692.91389989854</c:v>
                </c:pt>
                <c:pt idx="6">
                  <c:v>4694.43217149548</c:v>
                </c:pt>
                <c:pt idx="7">
                  <c:v>4696.16020890835</c:v>
                </c:pt>
                <c:pt idx="8">
                  <c:v>4698.12614879112</c:v>
                </c:pt>
                <c:pt idx="9">
                  <c:v>4700.36173748223</c:v>
                </c:pt>
                <c:pt idx="10">
                  <c:v>4702.90276098299</c:v>
                </c:pt>
                <c:pt idx="11">
                  <c:v>4705.78926039965</c:v>
                </c:pt>
                <c:pt idx="12">
                  <c:v>4709.06652742572</c:v>
                </c:pt>
                <c:pt idx="13">
                  <c:v>4712.78564684139</c:v>
                </c:pt>
                <c:pt idx="14">
                  <c:v>4717.00376002962</c:v>
                </c:pt>
                <c:pt idx="15">
                  <c:v>4721.78491423875</c:v>
                </c:pt>
                <c:pt idx="16">
                  <c:v>4727.20079794397</c:v>
                </c:pt>
                <c:pt idx="17">
                  <c:v>4733.331533474</c:v>
                </c:pt>
                <c:pt idx="18">
                  <c:v>4740.26652664715</c:v>
                </c:pt>
                <c:pt idx="19">
                  <c:v>4748.10537185658</c:v>
                </c:pt>
                <c:pt idx="20">
                  <c:v>4756.95880944098</c:v>
                </c:pt>
                <c:pt idx="21">
                  <c:v>4766.94973025255</c:v>
                </c:pt>
                <c:pt idx="22">
                  <c:v>4778.21422007525</c:v>
                </c:pt>
                <c:pt idx="23">
                  <c:v>4790.9026339536</c:v>
                </c:pt>
                <c:pt idx="24">
                  <c:v>4805.18068758967</c:v>
                </c:pt>
                <c:pt idx="25">
                  <c:v>4821.23054979749</c:v>
                </c:pt>
                <c:pt idx="26">
                  <c:v>4839.24898166427</c:v>
                </c:pt>
                <c:pt idx="27">
                  <c:v>4859.45624949731</c:v>
                </c:pt>
                <c:pt idx="28">
                  <c:v>4882.09026824236</c:v>
                </c:pt>
                <c:pt idx="29">
                  <c:v>4907.40914964674</c:v>
                </c:pt>
                <c:pt idx="30">
                  <c:v>4935.69215633088</c:v>
                </c:pt>
                <c:pt idx="31">
                  <c:v>4967.24028701626</c:v>
                </c:pt>
                <c:pt idx="32">
                  <c:v>5002.37666485136</c:v>
                </c:pt>
                <c:pt idx="33">
                  <c:v>5041.44669287679</c:v>
                </c:pt>
                <c:pt idx="34">
                  <c:v>5084.81794107236</c:v>
                </c:pt>
                <c:pt idx="35">
                  <c:v>5132.87973068102</c:v>
                </c:pt>
                <c:pt idx="36">
                  <c:v>5186.04238344752</c:v>
                </c:pt>
                <c:pt idx="37">
                  <c:v>5244.73610581189</c:v>
                </c:pt>
                <c:pt idx="38">
                  <c:v>5309.40948073326</c:v>
                </c:pt>
                <c:pt idx="39">
                  <c:v>5380.52754258322</c:v>
                </c:pt>
                <c:pt idx="40">
                  <c:v>5458.5670961725</c:v>
                </c:pt>
                <c:pt idx="41">
                  <c:v>5544.01507401578</c:v>
                </c:pt>
                <c:pt idx="42">
                  <c:v>5637.37597814017</c:v>
                </c:pt>
                <c:pt idx="43">
                  <c:v>5739.15278555111</c:v>
                </c:pt>
                <c:pt idx="44">
                  <c:v>5849.84849637938</c:v>
                </c:pt>
                <c:pt idx="45">
                  <c:v>5969.96149680783</c:v>
                </c:pt>
                <c:pt idx="46">
                  <c:v>6099.98060610439</c:v>
                </c:pt>
                <c:pt idx="47">
                  <c:v>6240.37995888259</c:v>
                </c:pt>
                <c:pt idx="48">
                  <c:v>6391.61394662092</c:v>
                </c:pt>
                <c:pt idx="49">
                  <c:v>6554.11252291001</c:v>
                </c:pt>
                <c:pt idx="50">
                  <c:v>6728.27725235617</c:v>
                </c:pt>
                <c:pt idx="51">
                  <c:v>6914.47853431871</c:v>
                </c:pt>
                <c:pt idx="52">
                  <c:v>7113.05443536212</c:v>
                </c:pt>
                <c:pt idx="53">
                  <c:v>7324.31149390556</c:v>
                </c:pt>
                <c:pt idx="54">
                  <c:v>7548.52770096623</c:v>
                </c:pt>
                <c:pt idx="55">
                  <c:v>7785.95734347338</c:v>
                </c:pt>
                <c:pt idx="56">
                  <c:v>8036.83889292048</c:v>
                </c:pt>
                <c:pt idx="57">
                  <c:v>8301.40198687696</c:v>
                </c:pt>
                <c:pt idx="58">
                  <c:v>8579.87612203612</c:v>
                </c:pt>
                <c:pt idx="59">
                  <c:v>8872.49890159568</c:v>
                </c:pt>
                <c:pt idx="60">
                  <c:v>9179.52291123178</c:v>
                </c:pt>
                <c:pt idx="61">
                  <c:v>9501.22114553663</c:v>
                </c:pt>
                <c:pt idx="62">
                  <c:v>9837.89098449824</c:v>
                </c:pt>
                <c:pt idx="63">
                  <c:v>10189.8569554609</c:v>
                </c:pt>
                <c:pt idx="64">
                  <c:v>10557.472605808</c:v>
                </c:pt>
                <c:pt idx="65">
                  <c:v>10941.1217811176</c:v>
                </c:pt>
                <c:pt idx="66">
                  <c:v>11341.2195209009</c:v>
                </c:pt>
                <c:pt idx="67">
                  <c:v>11758.2127071802</c:v>
                </c:pt>
                <c:pt idx="68">
                  <c:v>12192.5805521751</c:v>
                </c:pt>
                <c:pt idx="69">
                  <c:v>12644.8350816395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"Eddington"</c:f>
              <c:strCache>
                <c:ptCount val="1"/>
                <c:pt idx="0">
                  <c:v>Eddington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atmosphere'!$E$32:$E$101</c:f>
              <c:numCache>
                <c:formatCode>0.000E+00</c:formatCode>
                <c:ptCount val="70"/>
                <c:pt idx="0">
                  <c:v>0.001</c:v>
                </c:pt>
                <c:pt idx="1">
                  <c:v>0.00116114328588683</c:v>
                </c:pt>
                <c:pt idx="2">
                  <c:v>0.00134825373036006</c:v>
                </c:pt>
                <c:pt idx="3">
                  <c:v>0.00156551576667946</c:v>
                </c:pt>
                <c:pt idx="4">
                  <c:v>0.00181778812142982</c:v>
                </c:pt>
                <c:pt idx="5">
                  <c:v>0.00211071247236307</c:v>
                </c:pt>
                <c:pt idx="6">
                  <c:v>0.00245083961572197</c:v>
                </c:pt>
                <c:pt idx="7">
                  <c:v>0.00284577596458102</c:v>
                </c:pt>
                <c:pt idx="8">
                  <c:v>0.00330435365441136</c:v>
                </c:pt>
                <c:pt idx="9">
                  <c:v>0.00383682806001536</c:v>
                </c:pt>
                <c:pt idx="10">
                  <c:v>0.00445510714098902</c:v>
                </c:pt>
                <c:pt idx="11">
                  <c:v>0.00517301774466587</c:v>
                </c:pt>
                <c:pt idx="12">
                  <c:v>0.00600661482199219</c:v>
                </c:pt>
                <c:pt idx="13">
                  <c:v>0.00697454047146454</c:v>
                </c:pt>
                <c:pt idx="14">
                  <c:v>0.00809844084058701</c:v>
                </c:pt>
                <c:pt idx="15">
                  <c:v>0.00940345020819929</c:v>
                </c:pt>
                <c:pt idx="16">
                  <c:v>0.0109187530734217</c:v>
                </c:pt>
                <c:pt idx="17">
                  <c:v>0.0126782368214598</c:v>
                </c:pt>
                <c:pt idx="18">
                  <c:v>0.0147212495621212</c:v>
                </c:pt>
                <c:pt idx="19">
                  <c:v>0.0170934800889215</c:v>
                </c:pt>
                <c:pt idx="20">
                  <c:v>0.0198479796376913</c:v>
                </c:pt>
                <c:pt idx="21">
                  <c:v>0.0230463482947238</c:v>
                </c:pt>
                <c:pt idx="22">
                  <c:v>0.0267601125866279</c:v>
                </c:pt>
                <c:pt idx="23">
                  <c:v>0.0310723250595386</c:v>
                </c:pt>
                <c:pt idx="24">
                  <c:v>0.0360794216197763</c:v>
                </c:pt>
                <c:pt idx="25">
                  <c:v>0.0418933781724833</c:v>
                </c:pt>
                <c:pt idx="26">
                  <c:v>0.0486442147880968</c:v>
                </c:pt>
                <c:pt idx="27">
                  <c:v>0.0564829033984354</c:v>
                </c:pt>
                <c:pt idx="28">
                  <c:v>0.0655847440484876</c:v>
                </c:pt>
                <c:pt idx="29">
                  <c:v>0.0761532852085076</c:v>
                </c:pt>
                <c:pt idx="30">
                  <c:v>0.0884248758180833</c:v>
                </c:pt>
                <c:pt idx="31">
                  <c:v>0.102673950861544</c:v>
                </c:pt>
                <c:pt idx="32">
                  <c:v>0.119219168678356</c:v>
                </c:pt>
                <c:pt idx="33">
                  <c:v>0.138430537259882</c:v>
                </c:pt>
                <c:pt idx="34">
                  <c:v>0.160737688901019</c:v>
                </c:pt>
                <c:pt idx="35">
                  <c:v>0.186639488256384</c:v>
                </c:pt>
                <c:pt idx="36">
                  <c:v>0.216715188670254</c:v>
                </c:pt>
                <c:pt idx="37">
                  <c:v>0.251637386274163</c:v>
                </c:pt>
                <c:pt idx="38">
                  <c:v>0.292187061550354</c:v>
                </c:pt>
                <c:pt idx="39">
                  <c:v>0.339271044742195</c:v>
                </c:pt>
                <c:pt idx="40">
                  <c:v>0.39394229569821</c:v>
                </c:pt>
                <c:pt idx="41">
                  <c:v>0.45742345167682</c:v>
                </c:pt>
                <c:pt idx="42">
                  <c:v>0.531134169721718</c:v>
                </c:pt>
                <c:pt idx="43">
                  <c:v>0.616722875077448</c:v>
                </c:pt>
                <c:pt idx="44">
                  <c:v>0.716103625649</c:v>
                </c:pt>
                <c:pt idx="45">
                  <c:v>0.831498916921552</c:v>
                </c:pt>
                <c:pt idx="46">
                  <c:v>0.965489384605629</c:v>
                </c:pt>
                <c:pt idx="47">
                  <c:v>1.12107151652983</c:v>
                </c:pt>
                <c:pt idx="48">
                  <c:v>1.30172466441758</c:v>
                </c:pt>
                <c:pt idx="49">
                  <c:v>1.51148885416176</c:v>
                </c:pt>
                <c:pt idx="50">
                  <c:v>1.7550551347027</c:v>
                </c:pt>
                <c:pt idx="51">
                  <c:v>2.03787048602125</c:v>
                </c:pt>
                <c:pt idx="52">
                  <c:v>2.3662596323505</c:v>
                </c:pt>
                <c:pt idx="53">
                  <c:v>2.74756648476882</c:v>
                </c:pt>
                <c:pt idx="54">
                  <c:v>3.19031837631699</c:v>
                </c:pt>
                <c:pt idx="55">
                  <c:v>3.70441676250184</c:v>
                </c:pt>
                <c:pt idx="56">
                  <c:v>4.30135865190564</c:v>
                </c:pt>
                <c:pt idx="57">
                  <c:v>4.99449371885145</c:v>
                </c:pt>
                <c:pt idx="58">
                  <c:v>5.79932284804829</c:v>
                </c:pt>
                <c:pt idx="59">
                  <c:v>6.73384478770136</c:v>
                </c:pt>
                <c:pt idx="60">
                  <c:v>7.81895866344345</c:v>
                </c:pt>
                <c:pt idx="61">
                  <c:v>9.07893135468401</c:v>
                </c:pt>
                <c:pt idx="62">
                  <c:v>10.5419401855188</c:v>
                </c:pt>
                <c:pt idx="63">
                  <c:v>12.2407030666357</c:v>
                </c:pt>
                <c:pt idx="64">
                  <c:v>14.2132101803583</c:v>
                </c:pt>
                <c:pt idx="65">
                  <c:v>16.5035735718214</c:v>
                </c:pt>
                <c:pt idx="66">
                  <c:v>19.1630136460597</c:v>
                </c:pt>
                <c:pt idx="67">
                  <c:v>22.2510046324799</c:v>
                </c:pt>
                <c:pt idx="68">
                  <c:v>25.8366046332408</c:v>
                </c:pt>
                <c:pt idx="69">
                  <c:v>30</c:v>
                </c:pt>
              </c:numCache>
            </c:numRef>
          </c:xVal>
          <c:yVal>
            <c:numRef>
              <c:f>'SA4 Gray atmosphere'!$J$32:$J$101</c:f>
              <c:numCache>
                <c:formatCode>0</c:formatCode>
                <c:ptCount val="70"/>
                <c:pt idx="0">
                  <c:v>4855.47320621251</c:v>
                </c:pt>
                <c:pt idx="1">
                  <c:v>4855.76615033442</c:v>
                </c:pt>
                <c:pt idx="2">
                  <c:v>4856.10623392516</c:v>
                </c:pt>
                <c:pt idx="3">
                  <c:v>4856.50103007572</c:v>
                </c:pt>
                <c:pt idx="4">
                  <c:v>4856.95932420393</c:v>
                </c:pt>
                <c:pt idx="5">
                  <c:v>4857.49130663178</c:v>
                </c:pt>
                <c:pt idx="6">
                  <c:v>4858.10879523485</c:v>
                </c:pt>
                <c:pt idx="7">
                  <c:v>4858.82549267937</c:v>
                </c:pt>
                <c:pt idx="8">
                  <c:v>4859.65728337828</c:v>
                </c:pt>
                <c:pt idx="9">
                  <c:v>4860.62257597384</c:v>
                </c:pt>
                <c:pt idx="10">
                  <c:v>4861.74269788984</c:v>
                </c:pt>
                <c:pt idx="11">
                  <c:v>4863.04234928426</c:v>
                </c:pt>
                <c:pt idx="12">
                  <c:v>4864.55012455965</c:v>
                </c:pt>
                <c:pt idx="13">
                  <c:v>4866.29911043305</c:v>
                </c:pt>
                <c:pt idx="14">
                  <c:v>4868.32757039654</c:v>
                </c:pt>
                <c:pt idx="15">
                  <c:v>4870.67972616482</c:v>
                </c:pt>
                <c:pt idx="16">
                  <c:v>4873.40664733924</c:v>
                </c:pt>
                <c:pt idx="17">
                  <c:v>4876.5672609233</c:v>
                </c:pt>
                <c:pt idx="18">
                  <c:v>4880.22949237464</c:v>
                </c:pt>
                <c:pt idx="19">
                  <c:v>4884.47154940548</c:v>
                </c:pt>
                <c:pt idx="20">
                  <c:v>4889.38335853059</c:v>
                </c:pt>
                <c:pt idx="21">
                  <c:v>4895.06816213723</c:v>
                </c:pt>
                <c:pt idx="22">
                  <c:v>4901.64428028643</c:v>
                </c:pt>
                <c:pt idx="23">
                  <c:v>4909.24703615796</c:v>
                </c:pt>
                <c:pt idx="24">
                  <c:v>4918.03083658752</c:v>
                </c:pt>
                <c:pt idx="25">
                  <c:v>4928.17138905188</c:v>
                </c:pt>
                <c:pt idx="26">
                  <c:v>4939.86802329889</c:v>
                </c:pt>
                <c:pt idx="27">
                  <c:v>4953.34606925561</c:v>
                </c:pt>
                <c:pt idx="28">
                  <c:v>4968.85922275377</c:v>
                </c:pt>
                <c:pt idx="29">
                  <c:v>4986.69180723095</c:v>
                </c:pt>
                <c:pt idx="30">
                  <c:v>5007.16081370897</c:v>
                </c:pt>
                <c:pt idx="31">
                  <c:v>5030.61757462076</c:v>
                </c:pt>
                <c:pt idx="32">
                  <c:v>5057.44890206055</c:v>
                </c:pt>
                <c:pt idx="33">
                  <c:v>5088.07750152708</c:v>
                </c:pt>
                <c:pt idx="34">
                  <c:v>5122.96146309445</c:v>
                </c:pt>
                <c:pt idx="35">
                  <c:v>5162.59263887711</c:v>
                </c:pt>
                <c:pt idx="36">
                  <c:v>5207.49374446086</c:v>
                </c:pt>
                <c:pt idx="37">
                  <c:v>5258.21407740981</c:v>
                </c:pt>
                <c:pt idx="38">
                  <c:v>5315.32383018085</c:v>
                </c:pt>
                <c:pt idx="39">
                  <c:v>5379.40708562036</c:v>
                </c:pt>
                <c:pt idx="40">
                  <c:v>5451.05371282334</c:v>
                </c:pt>
                <c:pt idx="41">
                  <c:v>5530.85051549539</c:v>
                </c:pt>
                <c:pt idx="42">
                  <c:v>5619.37210501897</c:v>
                </c:pt>
                <c:pt idx="43">
                  <c:v>5717.17205499145</c:v>
                </c:pt>
                <c:pt idx="44">
                  <c:v>5824.77492417126</c:v>
                </c:pt>
                <c:pt idx="45">
                  <c:v>5942.66969884919</c:v>
                </c:pt>
                <c:pt idx="46">
                  <c:v>6071.30510307631</c:v>
                </c:pt>
                <c:pt idx="47">
                  <c:v>6211.08706786145</c:v>
                </c:pt>
                <c:pt idx="48">
                  <c:v>6362.37846094217</c:v>
                </c:pt>
                <c:pt idx="49">
                  <c:v>6525.50098533998</c:v>
                </c:pt>
                <c:pt idx="50">
                  <c:v>6700.73898535379</c:v>
                </c:pt>
                <c:pt idx="51">
                  <c:v>6888.34477418694</c:v>
                </c:pt>
                <c:pt idx="52">
                  <c:v>7088.54502914126</c:v>
                </c:pt>
                <c:pt idx="53">
                  <c:v>7301.54778845153</c:v>
                </c:pt>
                <c:pt idx="54">
                  <c:v>7527.54961961751</c:v>
                </c:pt>
                <c:pt idx="55">
                  <c:v>7766.74259834913</c:v>
                </c:pt>
                <c:pt idx="56">
                  <c:v>8019.32082424325</c:v>
                </c:pt>
                <c:pt idx="57">
                  <c:v>8285.4862899022</c:v>
                </c:pt>
                <c:pt idx="58">
                  <c:v>8565.45400368858</c:v>
                </c:pt>
                <c:pt idx="59">
                  <c:v>8859.45633607883</c:v>
                </c:pt>
                <c:pt idx="60">
                  <c:v>9167.7466127707</c:v>
                </c:pt>
                <c:pt idx="61">
                  <c:v>9490.60201434352</c:v>
                </c:pt>
                <c:pt idx="62">
                  <c:v>9828.32586425098</c:v>
                </c:pt>
                <c:pt idx="63">
                  <c:v>10181.2493970577</c:v>
                </c:pt>
                <c:pt idx="64">
                  <c:v>10549.7331001592</c:v>
                </c:pt>
                <c:pt idx="65">
                  <c:v>10934.1677175656</c:v>
                </c:pt>
                <c:pt idx="66">
                  <c:v>11334.9749960461</c:v>
                </c:pt>
                <c:pt idx="67">
                  <c:v>11752.6082438324</c:v>
                </c:pt>
                <c:pt idx="68">
                  <c:v>12187.552761483</c:v>
                </c:pt>
                <c:pt idx="69">
                  <c:v>12640.3261942634</c:v>
                </c:pt>
              </c:numCache>
            </c:numRef>
          </c:yVal>
          <c:smooth val="0"/>
        </c:ser>
        <c:axId val="87500168"/>
        <c:axId val="40134461"/>
      </c:scatterChart>
      <c:valAx>
        <c:axId val="87500168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optical depth tau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34461"/>
        <c:crosses val="autoZero"/>
        <c:crossBetween val="midCat"/>
      </c:valAx>
      <c:valAx>
        <c:axId val="40134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[K]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001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Limb darkening at the chosen wavelength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"monochromatic"</c:f>
              <c:strCache>
                <c:ptCount val="1"/>
                <c:pt idx="0">
                  <c:v>monochromatic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atmosphere'!$M$20:$M$40</c:f>
              <c:numCache>
                <c:formatCode>0.00</c:formatCode>
                <c:ptCount val="21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'SA4 Gray atmosphere'!$O$20:$O$40</c:f>
              <c:numCache>
                <c:formatCode>0.0000</c:formatCode>
                <c:ptCount val="21"/>
                <c:pt idx="0">
                  <c:v>0.261732744185132</c:v>
                </c:pt>
                <c:pt idx="1">
                  <c:v>0.290113213296011</c:v>
                </c:pt>
                <c:pt idx="2">
                  <c:v>0.333451909092295</c:v>
                </c:pt>
                <c:pt idx="3">
                  <c:v>0.374687060217597</c:v>
                </c:pt>
                <c:pt idx="4">
                  <c:v>0.414781377817004</c:v>
                </c:pt>
                <c:pt idx="5">
                  <c:v>0.454109553806323</c:v>
                </c:pt>
                <c:pt idx="6">
                  <c:v>0.492857199573342</c:v>
                </c:pt>
                <c:pt idx="7">
                  <c:v>0.531129458085828</c:v>
                </c:pt>
                <c:pt idx="8">
                  <c:v>0.568991541923245</c:v>
                </c:pt>
                <c:pt idx="9">
                  <c:v>0.606486767989317</c:v>
                </c:pt>
                <c:pt idx="10">
                  <c:v>0.64364555794179</c:v>
                </c:pt>
                <c:pt idx="11">
                  <c:v>0.680490313744652</c:v>
                </c:pt>
                <c:pt idx="12">
                  <c:v>0.717038227293873</c:v>
                </c:pt>
                <c:pt idx="13">
                  <c:v>0.753302980127368</c:v>
                </c:pt>
                <c:pt idx="14">
                  <c:v>0.789295812981246</c:v>
                </c:pt>
                <c:pt idx="15">
                  <c:v>0.825026221223475</c:v>
                </c:pt>
                <c:pt idx="16">
                  <c:v>0.860502419800834</c:v>
                </c:pt>
                <c:pt idx="17">
                  <c:v>0.895731661692378</c:v>
                </c:pt>
                <c:pt idx="18">
                  <c:v>0.930720460735534</c:v>
                </c:pt>
                <c:pt idx="19">
                  <c:v>0.965474750566112</c:v>
                </c:pt>
                <c:pt idx="20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"Eddington (bolometric)"</c:f>
              <c:strCache>
                <c:ptCount val="1"/>
                <c:pt idx="0">
                  <c:v>Eddington (bolometric)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atmosphere'!$M$20:$M$40</c:f>
              <c:numCache>
                <c:formatCode>0.00</c:formatCode>
                <c:ptCount val="21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'SA4 Gray atmosphere'!$P$20:$P$40</c:f>
              <c:numCache>
                <c:formatCode>0.0000</c:formatCode>
                <c:ptCount val="21"/>
                <c:pt idx="0">
                  <c:v>0.412</c:v>
                </c:pt>
                <c:pt idx="1">
                  <c:v>0.43</c:v>
                </c:pt>
                <c:pt idx="2">
                  <c:v>0.46</c:v>
                </c:pt>
                <c:pt idx="3">
                  <c:v>0.49</c:v>
                </c:pt>
                <c:pt idx="4">
                  <c:v>0.52</c:v>
                </c:pt>
                <c:pt idx="5">
                  <c:v>0.55</c:v>
                </c:pt>
                <c:pt idx="6">
                  <c:v>0.58</c:v>
                </c:pt>
                <c:pt idx="7">
                  <c:v>0.61</c:v>
                </c:pt>
                <c:pt idx="8">
                  <c:v>0.64</c:v>
                </c:pt>
                <c:pt idx="9">
                  <c:v>0.67</c:v>
                </c:pt>
                <c:pt idx="10">
                  <c:v>0.7</c:v>
                </c:pt>
                <c:pt idx="11">
                  <c:v>0.73</c:v>
                </c:pt>
                <c:pt idx="12">
                  <c:v>0.76</c:v>
                </c:pt>
                <c:pt idx="13">
                  <c:v>0.79</c:v>
                </c:pt>
                <c:pt idx="14">
                  <c:v>0.82</c:v>
                </c:pt>
                <c:pt idx="15">
                  <c:v>0.85</c:v>
                </c:pt>
                <c:pt idx="16">
                  <c:v>0.88</c:v>
                </c:pt>
                <c:pt idx="17">
                  <c:v>0.91</c:v>
                </c:pt>
                <c:pt idx="18">
                  <c:v>0.94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"exact (bolometric)"</c:f>
              <c:strCache>
                <c:ptCount val="1"/>
                <c:pt idx="0">
                  <c:v>exact (bolometric)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atmosphere'!$M$20:$M$40</c:f>
              <c:numCache>
                <c:formatCode>0.00</c:formatCode>
                <c:ptCount val="21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'SA4 Gray atmosphere'!$Q$20:$Q$40</c:f>
              <c:numCache>
                <c:formatCode>0.0000</c:formatCode>
                <c:ptCount val="21"/>
                <c:pt idx="0">
                  <c:v>0.343901361522562</c:v>
                </c:pt>
                <c:pt idx="1">
                  <c:v>0.390869637301926</c:v>
                </c:pt>
                <c:pt idx="2">
                  <c:v>0.428965515470581</c:v>
                </c:pt>
                <c:pt idx="3">
                  <c:v>0.464553511761895</c:v>
                </c:pt>
                <c:pt idx="4">
                  <c:v>0.498777825552129</c:v>
                </c:pt>
                <c:pt idx="5">
                  <c:v>0.53212759858568</c:v>
                </c:pt>
                <c:pt idx="6">
                  <c:v>0.564865643082468</c:v>
                </c:pt>
                <c:pt idx="7">
                  <c:v>0.597151605325049</c:v>
                </c:pt>
                <c:pt idx="8">
                  <c:v>0.629090370542001</c:v>
                </c:pt>
                <c:pt idx="9">
                  <c:v>0.660754740553557</c:v>
                </c:pt>
                <c:pt idx="10">
                  <c:v>0.692197359446052</c:v>
                </c:pt>
                <c:pt idx="11">
                  <c:v>0.723457525484527</c:v>
                </c:pt>
                <c:pt idx="12">
                  <c:v>0.754565332706754</c:v>
                </c:pt>
                <c:pt idx="13">
                  <c:v>0.785544315382961</c:v>
                </c:pt>
                <c:pt idx="14">
                  <c:v>0.816413204642129</c:v>
                </c:pt>
                <c:pt idx="15">
                  <c:v>0.847187134065361</c:v>
                </c:pt>
                <c:pt idx="16">
                  <c:v>0.877878490125359</c:v>
                </c:pt>
                <c:pt idx="17">
                  <c:v>0.908497526315803</c:v>
                </c:pt>
                <c:pt idx="18">
                  <c:v>0.939052815704138</c:v>
                </c:pt>
                <c:pt idx="19">
                  <c:v>0.969551590369404</c:v>
                </c:pt>
                <c:pt idx="20">
                  <c:v>1</c:v>
                </c:pt>
              </c:numCache>
            </c:numRef>
          </c:yVal>
          <c:smooth val="0"/>
        </c:ser>
        <c:axId val="83647709"/>
        <c:axId val="14761341"/>
      </c:scatterChart>
      <c:valAx>
        <c:axId val="83647709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61341"/>
        <c:crosses val="autoZero"/>
        <c:crossBetween val="midCat"/>
      </c:valAx>
      <c:valAx>
        <c:axId val="1476134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I(mu)/I(1)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477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Emergent flux vs black body at T_eff (log-log)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"gray LTE atmosphere"</c:f>
              <c:strCache>
                <c:ptCount val="1"/>
                <c:pt idx="0">
                  <c:v>gray LTE atmosphere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atmosphere'!$S$34:$S$144</c:f>
              <c:numCache>
                <c:formatCode>0.0</c:formatCode>
                <c:ptCount val="111"/>
                <c:pt idx="0">
                  <c:v>24.79</c:v>
                </c:pt>
                <c:pt idx="1">
                  <c:v>26.63</c:v>
                </c:pt>
                <c:pt idx="2">
                  <c:v>28.605</c:v>
                </c:pt>
                <c:pt idx="3">
                  <c:v>30.728</c:v>
                </c:pt>
                <c:pt idx="4">
                  <c:v>33.008</c:v>
                </c:pt>
                <c:pt idx="5">
                  <c:v>35.457</c:v>
                </c:pt>
                <c:pt idx="6">
                  <c:v>38.088</c:v>
                </c:pt>
                <c:pt idx="7">
                  <c:v>40.914</c:v>
                </c:pt>
                <c:pt idx="8">
                  <c:v>43.949</c:v>
                </c:pt>
                <c:pt idx="9">
                  <c:v>47.21</c:v>
                </c:pt>
                <c:pt idx="10">
                  <c:v>50.713</c:v>
                </c:pt>
                <c:pt idx="11">
                  <c:v>54.476</c:v>
                </c:pt>
                <c:pt idx="12">
                  <c:v>58.518</c:v>
                </c:pt>
                <c:pt idx="13">
                  <c:v>62.859</c:v>
                </c:pt>
                <c:pt idx="14">
                  <c:v>67.523</c:v>
                </c:pt>
                <c:pt idx="15">
                  <c:v>72.533</c:v>
                </c:pt>
                <c:pt idx="16">
                  <c:v>77.915</c:v>
                </c:pt>
                <c:pt idx="17">
                  <c:v>83.696</c:v>
                </c:pt>
                <c:pt idx="18">
                  <c:v>89.906</c:v>
                </c:pt>
                <c:pt idx="19">
                  <c:v>96.577</c:v>
                </c:pt>
                <c:pt idx="20">
                  <c:v>103.743</c:v>
                </c:pt>
                <c:pt idx="21">
                  <c:v>111.44</c:v>
                </c:pt>
                <c:pt idx="22">
                  <c:v>119.708</c:v>
                </c:pt>
                <c:pt idx="23">
                  <c:v>128.59</c:v>
                </c:pt>
                <c:pt idx="24">
                  <c:v>138.131</c:v>
                </c:pt>
                <c:pt idx="25">
                  <c:v>148.38</c:v>
                </c:pt>
                <c:pt idx="26">
                  <c:v>159.389</c:v>
                </c:pt>
                <c:pt idx="27">
                  <c:v>171.216</c:v>
                </c:pt>
                <c:pt idx="28">
                  <c:v>183.919</c:v>
                </c:pt>
                <c:pt idx="29">
                  <c:v>197.565</c:v>
                </c:pt>
                <c:pt idx="30">
                  <c:v>212.224</c:v>
                </c:pt>
                <c:pt idx="31">
                  <c:v>227.97</c:v>
                </c:pt>
                <c:pt idx="32">
                  <c:v>244.885</c:v>
                </c:pt>
                <c:pt idx="33">
                  <c:v>263.055</c:v>
                </c:pt>
                <c:pt idx="34">
                  <c:v>282.573</c:v>
                </c:pt>
                <c:pt idx="35">
                  <c:v>303.538</c:v>
                </c:pt>
                <c:pt idx="36">
                  <c:v>326.06</c:v>
                </c:pt>
                <c:pt idx="37">
                  <c:v>350.253</c:v>
                </c:pt>
                <c:pt idx="38">
                  <c:v>376.24</c:v>
                </c:pt>
                <c:pt idx="39">
                  <c:v>404.156</c:v>
                </c:pt>
                <c:pt idx="40">
                  <c:v>434.143</c:v>
                </c:pt>
                <c:pt idx="41">
                  <c:v>466.355</c:v>
                </c:pt>
                <c:pt idx="42">
                  <c:v>500.957</c:v>
                </c:pt>
                <c:pt idx="43">
                  <c:v>538.126</c:v>
                </c:pt>
                <c:pt idx="44">
                  <c:v>578.053</c:v>
                </c:pt>
                <c:pt idx="45">
                  <c:v>620.943</c:v>
                </c:pt>
                <c:pt idx="46">
                  <c:v>667.015</c:v>
                </c:pt>
                <c:pt idx="47">
                  <c:v>716.505</c:v>
                </c:pt>
                <c:pt idx="48">
                  <c:v>769.667</c:v>
                </c:pt>
                <c:pt idx="49">
                  <c:v>826.774</c:v>
                </c:pt>
                <c:pt idx="50">
                  <c:v>888.117</c:v>
                </c:pt>
                <c:pt idx="51">
                  <c:v>954.013</c:v>
                </c:pt>
                <c:pt idx="52">
                  <c:v>1024.797</c:v>
                </c:pt>
                <c:pt idx="53">
                  <c:v>1100.834</c:v>
                </c:pt>
                <c:pt idx="54">
                  <c:v>1182.512</c:v>
                </c:pt>
                <c:pt idx="55">
                  <c:v>1270.25</c:v>
                </c:pt>
                <c:pt idx="56">
                  <c:v>1364.499</c:v>
                </c:pt>
                <c:pt idx="57">
                  <c:v>1465.74</c:v>
                </c:pt>
                <c:pt idx="58">
                  <c:v>1574.493</c:v>
                </c:pt>
                <c:pt idx="59">
                  <c:v>1691.315</c:v>
                </c:pt>
                <c:pt idx="60">
                  <c:v>1816.805</c:v>
                </c:pt>
                <c:pt idx="61">
                  <c:v>1951.605</c:v>
                </c:pt>
                <c:pt idx="62">
                  <c:v>2096.408</c:v>
                </c:pt>
                <c:pt idx="63">
                  <c:v>2251.954</c:v>
                </c:pt>
                <c:pt idx="64">
                  <c:v>2419.042</c:v>
                </c:pt>
                <c:pt idx="65">
                  <c:v>2598.526</c:v>
                </c:pt>
                <c:pt idx="66">
                  <c:v>2791.328</c:v>
                </c:pt>
                <c:pt idx="67">
                  <c:v>2998.435</c:v>
                </c:pt>
                <c:pt idx="68">
                  <c:v>3220.909</c:v>
                </c:pt>
                <c:pt idx="69">
                  <c:v>3459.89</c:v>
                </c:pt>
                <c:pt idx="70">
                  <c:v>3716.602</c:v>
                </c:pt>
                <c:pt idx="71">
                  <c:v>3992.361</c:v>
                </c:pt>
                <c:pt idx="72">
                  <c:v>4288.581</c:v>
                </c:pt>
                <c:pt idx="73">
                  <c:v>4606.779</c:v>
                </c:pt>
                <c:pt idx="74">
                  <c:v>4948.587</c:v>
                </c:pt>
                <c:pt idx="75">
                  <c:v>5315.755</c:v>
                </c:pt>
                <c:pt idx="76">
                  <c:v>5710.166</c:v>
                </c:pt>
                <c:pt idx="77">
                  <c:v>6133.841</c:v>
                </c:pt>
                <c:pt idx="78">
                  <c:v>6588.951</c:v>
                </c:pt>
                <c:pt idx="79">
                  <c:v>7077.829</c:v>
                </c:pt>
                <c:pt idx="80">
                  <c:v>7602.98</c:v>
                </c:pt>
                <c:pt idx="81">
                  <c:v>8167.096</c:v>
                </c:pt>
                <c:pt idx="82">
                  <c:v>8773.067</c:v>
                </c:pt>
                <c:pt idx="83">
                  <c:v>9423.999</c:v>
                </c:pt>
                <c:pt idx="84">
                  <c:v>10123.227</c:v>
                </c:pt>
                <c:pt idx="85">
                  <c:v>10874.337</c:v>
                </c:pt>
                <c:pt idx="86">
                  <c:v>11681.176</c:v>
                </c:pt>
                <c:pt idx="87">
                  <c:v>12547.879</c:v>
                </c:pt>
                <c:pt idx="88">
                  <c:v>13478.89</c:v>
                </c:pt>
                <c:pt idx="89">
                  <c:v>14478.978</c:v>
                </c:pt>
                <c:pt idx="90">
                  <c:v>15553.269</c:v>
                </c:pt>
                <c:pt idx="91">
                  <c:v>16707.269</c:v>
                </c:pt>
                <c:pt idx="92">
                  <c:v>17946.892</c:v>
                </c:pt>
                <c:pt idx="93">
                  <c:v>19278.49</c:v>
                </c:pt>
                <c:pt idx="94">
                  <c:v>20708.889</c:v>
                </c:pt>
                <c:pt idx="95">
                  <c:v>22245.419</c:v>
                </c:pt>
                <c:pt idx="96">
                  <c:v>23895.954</c:v>
                </c:pt>
                <c:pt idx="97">
                  <c:v>25668.953</c:v>
                </c:pt>
                <c:pt idx="98">
                  <c:v>27573.502</c:v>
                </c:pt>
                <c:pt idx="99">
                  <c:v>29619.363</c:v>
                </c:pt>
                <c:pt idx="100">
                  <c:v>31817.02</c:v>
                </c:pt>
                <c:pt idx="101">
                  <c:v>34177.735</c:v>
                </c:pt>
                <c:pt idx="102">
                  <c:v>36713.607</c:v>
                </c:pt>
                <c:pt idx="103">
                  <c:v>39437.633</c:v>
                </c:pt>
                <c:pt idx="104">
                  <c:v>42363.772</c:v>
                </c:pt>
                <c:pt idx="105">
                  <c:v>45507.021</c:v>
                </c:pt>
                <c:pt idx="106">
                  <c:v>48883.488</c:v>
                </c:pt>
                <c:pt idx="107">
                  <c:v>52510.477</c:v>
                </c:pt>
                <c:pt idx="108">
                  <c:v>56406.577</c:v>
                </c:pt>
                <c:pt idx="109">
                  <c:v>60591.755</c:v>
                </c:pt>
                <c:pt idx="110">
                  <c:v>65087.458</c:v>
                </c:pt>
              </c:numCache>
            </c:numRef>
          </c:xVal>
          <c:yVal>
            <c:numRef>
              <c:f>'SA4 Gray atmosphere'!$T$34:$T$144</c:f>
              <c:numCache>
                <c:formatCode>0.000E+00</c:formatCode>
                <c:ptCount val="111"/>
                <c:pt idx="0">
                  <c:v>4.12595371875577E-008</c:v>
                </c:pt>
                <c:pt idx="1">
                  <c:v>1.4440509614111E-006</c:v>
                </c:pt>
                <c:pt idx="2">
                  <c:v>4.05910527907022E-005</c:v>
                </c:pt>
                <c:pt idx="3">
                  <c:v>0.00093203830167256</c:v>
                </c:pt>
                <c:pt idx="4">
                  <c:v>0.0176280524713961</c:v>
                </c:pt>
                <c:pt idx="5">
                  <c:v>0.277754114572687</c:v>
                </c:pt>
                <c:pt idx="6">
                  <c:v>3.68479223074768</c:v>
                </c:pt>
                <c:pt idx="7">
                  <c:v>41.5340401083241</c:v>
                </c:pt>
                <c:pt idx="8">
                  <c:v>401.274664027716</c:v>
                </c:pt>
                <c:pt idx="9">
                  <c:v>3354.98801404925</c:v>
                </c:pt>
                <c:pt idx="10">
                  <c:v>24456.7265167271</c:v>
                </c:pt>
                <c:pt idx="11">
                  <c:v>156629.37581588</c:v>
                </c:pt>
                <c:pt idx="12">
                  <c:v>887521.144004407</c:v>
                </c:pt>
                <c:pt idx="13">
                  <c:v>4478844.77418114</c:v>
                </c:pt>
                <c:pt idx="14">
                  <c:v>20272038.0423622</c:v>
                </c:pt>
                <c:pt idx="15">
                  <c:v>82764226.5140739</c:v>
                </c:pt>
                <c:pt idx="16">
                  <c:v>306557393.298656</c:v>
                </c:pt>
                <c:pt idx="17">
                  <c:v>1035572059.74095</c:v>
                </c:pt>
                <c:pt idx="18">
                  <c:v>3206942082.09439</c:v>
                </c:pt>
                <c:pt idx="19">
                  <c:v>9148098150.45453</c:v>
                </c:pt>
                <c:pt idx="20">
                  <c:v>24145781305.8027</c:v>
                </c:pt>
                <c:pt idx="21">
                  <c:v>59215109928.4179</c:v>
                </c:pt>
                <c:pt idx="22">
                  <c:v>135480438821.401</c:v>
                </c:pt>
                <c:pt idx="23">
                  <c:v>290286685444.806</c:v>
                </c:pt>
                <c:pt idx="24">
                  <c:v>584508954297.728</c:v>
                </c:pt>
                <c:pt idx="25">
                  <c:v>1109703849105.53</c:v>
                </c:pt>
                <c:pt idx="26">
                  <c:v>1992541467247.76</c:v>
                </c:pt>
                <c:pt idx="27">
                  <c:v>3393781222482.73</c:v>
                </c:pt>
                <c:pt idx="28">
                  <c:v>5497513386508.33</c:v>
                </c:pt>
                <c:pt idx="29">
                  <c:v>8491745566599.15</c:v>
                </c:pt>
                <c:pt idx="30">
                  <c:v>12537582847949.9</c:v>
                </c:pt>
                <c:pt idx="31">
                  <c:v>17733172516323.9</c:v>
                </c:pt>
                <c:pt idx="32">
                  <c:v>24080108427770.4</c:v>
                </c:pt>
                <c:pt idx="33">
                  <c:v>31456451546858.3</c:v>
                </c:pt>
                <c:pt idx="34">
                  <c:v>39608523683746.8</c:v>
                </c:pt>
                <c:pt idx="35">
                  <c:v>48162363161980.7</c:v>
                </c:pt>
                <c:pt idx="36">
                  <c:v>56658382086389.3</c:v>
                </c:pt>
                <c:pt idx="37">
                  <c:v>64597154864578.6</c:v>
                </c:pt>
                <c:pt idx="38">
                  <c:v>71497913082769.8</c:v>
                </c:pt>
                <c:pt idx="39">
                  <c:v>76952984228087.5</c:v>
                </c:pt>
                <c:pt idx="40">
                  <c:v>80668893331997.8</c:v>
                </c:pt>
                <c:pt idx="41">
                  <c:v>82492442819656.2</c:v>
                </c:pt>
                <c:pt idx="42">
                  <c:v>82415430805814.3</c:v>
                </c:pt>
                <c:pt idx="43">
                  <c:v>80561615772911.3</c:v>
                </c:pt>
                <c:pt idx="44">
                  <c:v>77159765753436.9</c:v>
                </c:pt>
                <c:pt idx="45">
                  <c:v>72509074323317.1</c:v>
                </c:pt>
                <c:pt idx="46">
                  <c:v>66943117635368.8</c:v>
                </c:pt>
                <c:pt idx="47">
                  <c:v>60796768202383.2</c:v>
                </c:pt>
                <c:pt idx="48">
                  <c:v>54379985124458.8</c:v>
                </c:pt>
                <c:pt idx="49">
                  <c:v>47959889115818</c:v>
                </c:pt>
                <c:pt idx="50">
                  <c:v>41751236769013.3</c:v>
                </c:pt>
                <c:pt idx="51">
                  <c:v>35913071785964.5</c:v>
                </c:pt>
                <c:pt idx="52">
                  <c:v>30552404043955.5</c:v>
                </c:pt>
                <c:pt idx="53">
                  <c:v>25729605406477.8</c:v>
                </c:pt>
                <c:pt idx="54">
                  <c:v>21467325468405.1</c:v>
                </c:pt>
                <c:pt idx="55">
                  <c:v>17758803409792.2</c:v>
                </c:pt>
                <c:pt idx="56">
                  <c:v>14576329483703.9</c:v>
                </c:pt>
                <c:pt idx="57">
                  <c:v>11878676861475.4</c:v>
                </c:pt>
                <c:pt idx="58">
                  <c:v>9616882348947.4</c:v>
                </c:pt>
                <c:pt idx="59">
                  <c:v>7739049298030.6</c:v>
                </c:pt>
                <c:pt idx="60">
                  <c:v>6193669889095.34</c:v>
                </c:pt>
                <c:pt idx="61">
                  <c:v>4931942606475.08</c:v>
                </c:pt>
                <c:pt idx="62">
                  <c:v>3909130301667.26</c:v>
                </c:pt>
                <c:pt idx="63">
                  <c:v>3085348152298.03</c:v>
                </c:pt>
                <c:pt idx="64">
                  <c:v>2425729943745.37</c:v>
                </c:pt>
                <c:pt idx="65">
                  <c:v>1900362666610.99</c:v>
                </c:pt>
                <c:pt idx="66">
                  <c:v>1483927915125.46</c:v>
                </c:pt>
                <c:pt idx="67">
                  <c:v>1155283631863.61</c:v>
                </c:pt>
                <c:pt idx="68">
                  <c:v>896953645441.247</c:v>
                </c:pt>
                <c:pt idx="69">
                  <c:v>694630930880.14</c:v>
                </c:pt>
                <c:pt idx="70">
                  <c:v>536697945149.734</c:v>
                </c:pt>
                <c:pt idx="71">
                  <c:v>413788286443.935</c:v>
                </c:pt>
                <c:pt idx="72">
                  <c:v>318399641040.646</c:v>
                </c:pt>
                <c:pt idx="73">
                  <c:v>244557574908.843</c:v>
                </c:pt>
                <c:pt idx="74">
                  <c:v>187527631470.364</c:v>
                </c:pt>
                <c:pt idx="75">
                  <c:v>143576128688.443</c:v>
                </c:pt>
                <c:pt idx="76">
                  <c:v>109769956502.379</c:v>
                </c:pt>
                <c:pt idx="77">
                  <c:v>83814025702.9698</c:v>
                </c:pt>
                <c:pt idx="78">
                  <c:v>63918352884.489</c:v>
                </c:pt>
                <c:pt idx="79">
                  <c:v>48691148028.7492</c:v>
                </c:pt>
                <c:pt idx="80">
                  <c:v>37053302793.9214</c:v>
                </c:pt>
                <c:pt idx="81">
                  <c:v>28170203708.4607</c:v>
                </c:pt>
                <c:pt idx="82">
                  <c:v>21397868960.9361</c:v>
                </c:pt>
                <c:pt idx="83">
                  <c:v>16240412560.8319</c:v>
                </c:pt>
                <c:pt idx="84">
                  <c:v>12316749504.1796</c:v>
                </c:pt>
                <c:pt idx="85">
                  <c:v>9334510403.98083</c:v>
                </c:pt>
                <c:pt idx="86">
                  <c:v>7069784053.138</c:v>
                </c:pt>
                <c:pt idx="87">
                  <c:v>5351315428.27379</c:v>
                </c:pt>
                <c:pt idx="88">
                  <c:v>4048307714.306</c:v>
                </c:pt>
                <c:pt idx="89">
                  <c:v>3060997412.88598</c:v>
                </c:pt>
                <c:pt idx="90">
                  <c:v>2313369805.58705</c:v>
                </c:pt>
                <c:pt idx="91">
                  <c:v>1747570917.90499</c:v>
                </c:pt>
                <c:pt idx="92">
                  <c:v>1319611580.97545</c:v>
                </c:pt>
                <c:pt idx="93">
                  <c:v>996074758.77383</c:v>
                </c:pt>
                <c:pt idx="94">
                  <c:v>751595209.215927</c:v>
                </c:pt>
                <c:pt idx="95">
                  <c:v>566935176.452276</c:v>
                </c:pt>
                <c:pt idx="96">
                  <c:v>427514041.470436</c:v>
                </c:pt>
                <c:pt idx="97">
                  <c:v>322288177.202813</c:v>
                </c:pt>
                <c:pt idx="98">
                  <c:v>242898123.41893</c:v>
                </c:pt>
                <c:pt idx="99">
                  <c:v>183019671.013909</c:v>
                </c:pt>
                <c:pt idx="100">
                  <c:v>137870956.46681</c:v>
                </c:pt>
                <c:pt idx="101">
                  <c:v>103837980.487707</c:v>
                </c:pt>
                <c:pt idx="102">
                  <c:v>78190599.876553</c:v>
                </c:pt>
                <c:pt idx="103">
                  <c:v>58867242.3936558</c:v>
                </c:pt>
                <c:pt idx="104">
                  <c:v>44311791.9208009</c:v>
                </c:pt>
                <c:pt idx="105">
                  <c:v>33350054.4515107</c:v>
                </c:pt>
                <c:pt idx="106">
                  <c:v>25096330.9771608</c:v>
                </c:pt>
                <c:pt idx="107">
                  <c:v>18882732.0912649</c:v>
                </c:pt>
                <c:pt idx="108">
                  <c:v>14205759.2690719</c:v>
                </c:pt>
                <c:pt idx="109">
                  <c:v>10685945.350305</c:v>
                </c:pt>
                <c:pt idx="110">
                  <c:v>8037369.74154944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"pi B_lambda(T_eff)"</c:f>
              <c:strCache>
                <c:ptCount val="1"/>
                <c:pt idx="0">
                  <c:v>pi B_lambda(T_eff)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Gray atmosphere'!$S$34:$S$144</c:f>
              <c:numCache>
                <c:formatCode>0.0</c:formatCode>
                <c:ptCount val="111"/>
                <c:pt idx="0">
                  <c:v>24.79</c:v>
                </c:pt>
                <c:pt idx="1">
                  <c:v>26.63</c:v>
                </c:pt>
                <c:pt idx="2">
                  <c:v>28.605</c:v>
                </c:pt>
                <c:pt idx="3">
                  <c:v>30.728</c:v>
                </c:pt>
                <c:pt idx="4">
                  <c:v>33.008</c:v>
                </c:pt>
                <c:pt idx="5">
                  <c:v>35.457</c:v>
                </c:pt>
                <c:pt idx="6">
                  <c:v>38.088</c:v>
                </c:pt>
                <c:pt idx="7">
                  <c:v>40.914</c:v>
                </c:pt>
                <c:pt idx="8">
                  <c:v>43.949</c:v>
                </c:pt>
                <c:pt idx="9">
                  <c:v>47.21</c:v>
                </c:pt>
                <c:pt idx="10">
                  <c:v>50.713</c:v>
                </c:pt>
                <c:pt idx="11">
                  <c:v>54.476</c:v>
                </c:pt>
                <c:pt idx="12">
                  <c:v>58.518</c:v>
                </c:pt>
                <c:pt idx="13">
                  <c:v>62.859</c:v>
                </c:pt>
                <c:pt idx="14">
                  <c:v>67.523</c:v>
                </c:pt>
                <c:pt idx="15">
                  <c:v>72.533</c:v>
                </c:pt>
                <c:pt idx="16">
                  <c:v>77.915</c:v>
                </c:pt>
                <c:pt idx="17">
                  <c:v>83.696</c:v>
                </c:pt>
                <c:pt idx="18">
                  <c:v>89.906</c:v>
                </c:pt>
                <c:pt idx="19">
                  <c:v>96.577</c:v>
                </c:pt>
                <c:pt idx="20">
                  <c:v>103.743</c:v>
                </c:pt>
                <c:pt idx="21">
                  <c:v>111.44</c:v>
                </c:pt>
                <c:pt idx="22">
                  <c:v>119.708</c:v>
                </c:pt>
                <c:pt idx="23">
                  <c:v>128.59</c:v>
                </c:pt>
                <c:pt idx="24">
                  <c:v>138.131</c:v>
                </c:pt>
                <c:pt idx="25">
                  <c:v>148.38</c:v>
                </c:pt>
                <c:pt idx="26">
                  <c:v>159.389</c:v>
                </c:pt>
                <c:pt idx="27">
                  <c:v>171.216</c:v>
                </c:pt>
                <c:pt idx="28">
                  <c:v>183.919</c:v>
                </c:pt>
                <c:pt idx="29">
                  <c:v>197.565</c:v>
                </c:pt>
                <c:pt idx="30">
                  <c:v>212.224</c:v>
                </c:pt>
                <c:pt idx="31">
                  <c:v>227.97</c:v>
                </c:pt>
                <c:pt idx="32">
                  <c:v>244.885</c:v>
                </c:pt>
                <c:pt idx="33">
                  <c:v>263.055</c:v>
                </c:pt>
                <c:pt idx="34">
                  <c:v>282.573</c:v>
                </c:pt>
                <c:pt idx="35">
                  <c:v>303.538</c:v>
                </c:pt>
                <c:pt idx="36">
                  <c:v>326.06</c:v>
                </c:pt>
                <c:pt idx="37">
                  <c:v>350.253</c:v>
                </c:pt>
                <c:pt idx="38">
                  <c:v>376.24</c:v>
                </c:pt>
                <c:pt idx="39">
                  <c:v>404.156</c:v>
                </c:pt>
                <c:pt idx="40">
                  <c:v>434.143</c:v>
                </c:pt>
                <c:pt idx="41">
                  <c:v>466.355</c:v>
                </c:pt>
                <c:pt idx="42">
                  <c:v>500.957</c:v>
                </c:pt>
                <c:pt idx="43">
                  <c:v>538.126</c:v>
                </c:pt>
                <c:pt idx="44">
                  <c:v>578.053</c:v>
                </c:pt>
                <c:pt idx="45">
                  <c:v>620.943</c:v>
                </c:pt>
                <c:pt idx="46">
                  <c:v>667.015</c:v>
                </c:pt>
                <c:pt idx="47">
                  <c:v>716.505</c:v>
                </c:pt>
                <c:pt idx="48">
                  <c:v>769.667</c:v>
                </c:pt>
                <c:pt idx="49">
                  <c:v>826.774</c:v>
                </c:pt>
                <c:pt idx="50">
                  <c:v>888.117</c:v>
                </c:pt>
                <c:pt idx="51">
                  <c:v>954.013</c:v>
                </c:pt>
                <c:pt idx="52">
                  <c:v>1024.797</c:v>
                </c:pt>
                <c:pt idx="53">
                  <c:v>1100.834</c:v>
                </c:pt>
                <c:pt idx="54">
                  <c:v>1182.512</c:v>
                </c:pt>
                <c:pt idx="55">
                  <c:v>1270.25</c:v>
                </c:pt>
                <c:pt idx="56">
                  <c:v>1364.499</c:v>
                </c:pt>
                <c:pt idx="57">
                  <c:v>1465.74</c:v>
                </c:pt>
                <c:pt idx="58">
                  <c:v>1574.493</c:v>
                </c:pt>
                <c:pt idx="59">
                  <c:v>1691.315</c:v>
                </c:pt>
                <c:pt idx="60">
                  <c:v>1816.805</c:v>
                </c:pt>
                <c:pt idx="61">
                  <c:v>1951.605</c:v>
                </c:pt>
                <c:pt idx="62">
                  <c:v>2096.408</c:v>
                </c:pt>
                <c:pt idx="63">
                  <c:v>2251.954</c:v>
                </c:pt>
                <c:pt idx="64">
                  <c:v>2419.042</c:v>
                </c:pt>
                <c:pt idx="65">
                  <c:v>2598.526</c:v>
                </c:pt>
                <c:pt idx="66">
                  <c:v>2791.328</c:v>
                </c:pt>
                <c:pt idx="67">
                  <c:v>2998.435</c:v>
                </c:pt>
                <c:pt idx="68">
                  <c:v>3220.909</c:v>
                </c:pt>
                <c:pt idx="69">
                  <c:v>3459.89</c:v>
                </c:pt>
                <c:pt idx="70">
                  <c:v>3716.602</c:v>
                </c:pt>
                <c:pt idx="71">
                  <c:v>3992.361</c:v>
                </c:pt>
                <c:pt idx="72">
                  <c:v>4288.581</c:v>
                </c:pt>
                <c:pt idx="73">
                  <c:v>4606.779</c:v>
                </c:pt>
                <c:pt idx="74">
                  <c:v>4948.587</c:v>
                </c:pt>
                <c:pt idx="75">
                  <c:v>5315.755</c:v>
                </c:pt>
                <c:pt idx="76">
                  <c:v>5710.166</c:v>
                </c:pt>
                <c:pt idx="77">
                  <c:v>6133.841</c:v>
                </c:pt>
                <c:pt idx="78">
                  <c:v>6588.951</c:v>
                </c:pt>
                <c:pt idx="79">
                  <c:v>7077.829</c:v>
                </c:pt>
                <c:pt idx="80">
                  <c:v>7602.98</c:v>
                </c:pt>
                <c:pt idx="81">
                  <c:v>8167.096</c:v>
                </c:pt>
                <c:pt idx="82">
                  <c:v>8773.067</c:v>
                </c:pt>
                <c:pt idx="83">
                  <c:v>9423.999</c:v>
                </c:pt>
                <c:pt idx="84">
                  <c:v>10123.227</c:v>
                </c:pt>
                <c:pt idx="85">
                  <c:v>10874.337</c:v>
                </c:pt>
                <c:pt idx="86">
                  <c:v>11681.176</c:v>
                </c:pt>
                <c:pt idx="87">
                  <c:v>12547.879</c:v>
                </c:pt>
                <c:pt idx="88">
                  <c:v>13478.89</c:v>
                </c:pt>
                <c:pt idx="89">
                  <c:v>14478.978</c:v>
                </c:pt>
                <c:pt idx="90">
                  <c:v>15553.269</c:v>
                </c:pt>
                <c:pt idx="91">
                  <c:v>16707.269</c:v>
                </c:pt>
                <c:pt idx="92">
                  <c:v>17946.892</c:v>
                </c:pt>
                <c:pt idx="93">
                  <c:v>19278.49</c:v>
                </c:pt>
                <c:pt idx="94">
                  <c:v>20708.889</c:v>
                </c:pt>
                <c:pt idx="95">
                  <c:v>22245.419</c:v>
                </c:pt>
                <c:pt idx="96">
                  <c:v>23895.954</c:v>
                </c:pt>
                <c:pt idx="97">
                  <c:v>25668.953</c:v>
                </c:pt>
                <c:pt idx="98">
                  <c:v>27573.502</c:v>
                </c:pt>
                <c:pt idx="99">
                  <c:v>29619.363</c:v>
                </c:pt>
                <c:pt idx="100">
                  <c:v>31817.02</c:v>
                </c:pt>
                <c:pt idx="101">
                  <c:v>34177.735</c:v>
                </c:pt>
                <c:pt idx="102">
                  <c:v>36713.607</c:v>
                </c:pt>
                <c:pt idx="103">
                  <c:v>39437.633</c:v>
                </c:pt>
                <c:pt idx="104">
                  <c:v>42363.772</c:v>
                </c:pt>
                <c:pt idx="105">
                  <c:v>45507.021</c:v>
                </c:pt>
                <c:pt idx="106">
                  <c:v>48883.488</c:v>
                </c:pt>
                <c:pt idx="107">
                  <c:v>52510.477</c:v>
                </c:pt>
                <c:pt idx="108">
                  <c:v>56406.577</c:v>
                </c:pt>
                <c:pt idx="109">
                  <c:v>60591.755</c:v>
                </c:pt>
                <c:pt idx="110">
                  <c:v>65087.458</c:v>
                </c:pt>
              </c:numCache>
            </c:numRef>
          </c:xVal>
          <c:yVal>
            <c:numRef>
              <c:f>'SA4 Gray atmosphere'!$V$34:$V$144</c:f>
              <c:numCache>
                <c:formatCode>0.000E+00</c:formatCode>
                <c:ptCount val="111"/>
                <c:pt idx="0">
                  <c:v>8.56105448321381E-022</c:v>
                </c:pt>
                <c:pt idx="1">
                  <c:v>6.22838472137912E-019</c:v>
                </c:pt>
                <c:pt idx="2">
                  <c:v>2.79114511045036E-016</c:v>
                </c:pt>
                <c:pt idx="3">
                  <c:v>8.036014124871E-014</c:v>
                </c:pt>
                <c:pt idx="4">
                  <c:v>1.52448839594387E-011</c:v>
                </c:pt>
                <c:pt idx="5">
                  <c:v>1.96324859663102E-009</c:v>
                </c:pt>
                <c:pt idx="6">
                  <c:v>1.76429558450738E-007</c:v>
                </c:pt>
                <c:pt idx="7">
                  <c:v>1.13330733615616E-005</c:v>
                </c:pt>
                <c:pt idx="8">
                  <c:v>0.000532323323896079</c:v>
                </c:pt>
                <c:pt idx="9">
                  <c:v>0.018715467076449</c:v>
                </c:pt>
                <c:pt idx="10">
                  <c:v>0.502010157953363</c:v>
                </c:pt>
                <c:pt idx="11">
                  <c:v>10.4673929696163</c:v>
                </c:pt>
                <c:pt idx="12">
                  <c:v>172.602018356998</c:v>
                </c:pt>
                <c:pt idx="13">
                  <c:v>2286.78144645023</c:v>
                </c:pt>
                <c:pt idx="14">
                  <c:v>24738.6210421317</c:v>
                </c:pt>
                <c:pt idx="15">
                  <c:v>221487.379720073</c:v>
                </c:pt>
                <c:pt idx="16">
                  <c:v>1662929.14082189</c:v>
                </c:pt>
                <c:pt idx="17">
                  <c:v>10595963.0790533</c:v>
                </c:pt>
                <c:pt idx="18">
                  <c:v>57959977.2251646</c:v>
                </c:pt>
                <c:pt idx="19">
                  <c:v>275060663.509607</c:v>
                </c:pt>
                <c:pt idx="20">
                  <c:v>1143612527.71295</c:v>
                </c:pt>
                <c:pt idx="21">
                  <c:v>4203374605.98811</c:v>
                </c:pt>
                <c:pt idx="22">
                  <c:v>13776339330.0763</c:v>
                </c:pt>
                <c:pt idx="23">
                  <c:v>40584169816.2289</c:v>
                </c:pt>
                <c:pt idx="24">
                  <c:v>108251321988.799</c:v>
                </c:pt>
                <c:pt idx="25">
                  <c:v>263237371934.748</c:v>
                </c:pt>
                <c:pt idx="26">
                  <c:v>587296405375.02</c:v>
                </c:pt>
                <c:pt idx="27">
                  <c:v>1209455879393.71</c:v>
                </c:pt>
                <c:pt idx="28">
                  <c:v>2311440710304.15</c:v>
                </c:pt>
                <c:pt idx="29">
                  <c:v>4121187841911.82</c:v>
                </c:pt>
                <c:pt idx="30">
                  <c:v>6887938297591.44</c:v>
                </c:pt>
                <c:pt idx="31">
                  <c:v>10839454528131.5</c:v>
                </c:pt>
                <c:pt idx="32">
                  <c:v>16128763723891.1</c:v>
                </c:pt>
                <c:pt idx="33">
                  <c:v>22779584449149.2</c:v>
                </c:pt>
                <c:pt idx="34">
                  <c:v>30648695754574.9</c:v>
                </c:pt>
                <c:pt idx="35">
                  <c:v>39414997875491.4</c:v>
                </c:pt>
                <c:pt idx="36">
                  <c:v>48604504485817.7</c:v>
                </c:pt>
                <c:pt idx="37">
                  <c:v>57640793448060</c:v>
                </c:pt>
                <c:pt idx="38">
                  <c:v>65920445734393.4</c:v>
                </c:pt>
                <c:pt idx="39">
                  <c:v>72891540760108.6</c:v>
                </c:pt>
                <c:pt idx="40">
                  <c:v>78118922548533.5</c:v>
                </c:pt>
                <c:pt idx="41">
                  <c:v>81330336919586.5</c:v>
                </c:pt>
                <c:pt idx="42">
                  <c:v>82433179567171.2</c:v>
                </c:pt>
                <c:pt idx="43">
                  <c:v>81505286110227.1</c:v>
                </c:pt>
                <c:pt idx="44">
                  <c:v>78764859208578.5</c:v>
                </c:pt>
                <c:pt idx="45">
                  <c:v>74528199408133.1</c:v>
                </c:pt>
                <c:pt idx="46">
                  <c:v>69164156270561.1</c:v>
                </c:pt>
                <c:pt idx="47">
                  <c:v>63051849583538.9</c:v>
                </c:pt>
                <c:pt idx="48">
                  <c:v>56546916078656.3</c:v>
                </c:pt>
                <c:pt idx="49">
                  <c:v>49958339574651.9</c:v>
                </c:pt>
                <c:pt idx="50">
                  <c:v>43535954298405.2</c:v>
                </c:pt>
                <c:pt idx="51">
                  <c:v>37465955823251.5</c:v>
                </c:pt>
                <c:pt idx="52">
                  <c:v>31874811646724.5</c:v>
                </c:pt>
                <c:pt idx="53">
                  <c:v>26835603522232.7</c:v>
                </c:pt>
                <c:pt idx="54">
                  <c:v>22378301455040.2</c:v>
                </c:pt>
                <c:pt idx="55">
                  <c:v>18499430188188.3</c:v>
                </c:pt>
                <c:pt idx="56">
                  <c:v>15171773093196</c:v>
                </c:pt>
                <c:pt idx="57">
                  <c:v>12352824260260.9</c:v>
                </c:pt>
                <c:pt idx="58">
                  <c:v>9991332381147.04</c:v>
                </c:pt>
                <c:pt idx="59">
                  <c:v>8032662527851.98</c:v>
                </c:pt>
                <c:pt idx="60">
                  <c:v>6422483377137.14</c:v>
                </c:pt>
                <c:pt idx="61">
                  <c:v>5109311467470.16</c:v>
                </c:pt>
                <c:pt idx="62">
                  <c:v>4045990115532.02</c:v>
                </c:pt>
                <c:pt idx="63">
                  <c:v>3190532540666.72</c:v>
                </c:pt>
                <c:pt idx="64">
                  <c:v>2506293357529.74</c:v>
                </c:pt>
                <c:pt idx="65">
                  <c:v>1961886245983.88</c:v>
                </c:pt>
                <c:pt idx="66">
                  <c:v>1530791790438.69</c:v>
                </c:pt>
                <c:pt idx="67">
                  <c:v>1190902652224.62</c:v>
                </c:pt>
                <c:pt idx="68">
                  <c:v>923974913644.792</c:v>
                </c:pt>
                <c:pt idx="69">
                  <c:v>715096555021.409</c:v>
                </c:pt>
                <c:pt idx="70">
                  <c:v>552176846091.375</c:v>
                </c:pt>
                <c:pt idx="71">
                  <c:v>425481597062.075</c:v>
                </c:pt>
                <c:pt idx="72">
                  <c:v>327224173597.645</c:v>
                </c:pt>
                <c:pt idx="73">
                  <c:v>251211349055.607</c:v>
                </c:pt>
                <c:pt idx="74">
                  <c:v>192540912443.886</c:v>
                </c:pt>
                <c:pt idx="75">
                  <c:v>147351004298.889</c:v>
                </c:pt>
                <c:pt idx="76">
                  <c:v>112610824779.245</c:v>
                </c:pt>
                <c:pt idx="77">
                  <c:v>85951020383.6112</c:v>
                </c:pt>
                <c:pt idx="78">
                  <c:v>65525259626.3863</c:v>
                </c:pt>
                <c:pt idx="79">
                  <c:v>49899070889.7288</c:v>
                </c:pt>
                <c:pt idx="80">
                  <c:v>37961064688.5908</c:v>
                </c:pt>
                <c:pt idx="81">
                  <c:v>28852241296.6142</c:v>
                </c:pt>
                <c:pt idx="82">
                  <c:v>21910217176.0691</c:v>
                </c:pt>
                <c:pt idx="83">
                  <c:v>16625231877.6795</c:v>
                </c:pt>
                <c:pt idx="84">
                  <c:v>12605747972.6909</c:v>
                </c:pt>
                <c:pt idx="85">
                  <c:v>9551526104.42988</c:v>
                </c:pt>
                <c:pt idx="86">
                  <c:v>7232733492.90322</c:v>
                </c:pt>
                <c:pt idx="87">
                  <c:v>5473660947.54233</c:v>
                </c:pt>
                <c:pt idx="88">
                  <c:v>4140162688.26626</c:v>
                </c:pt>
                <c:pt idx="89">
                  <c:v>3129958208.5327</c:v>
                </c:pt>
                <c:pt idx="90">
                  <c:v>2365141348.84349</c:v>
                </c:pt>
                <c:pt idx="91">
                  <c:v>1786437184.42233</c:v>
                </c:pt>
                <c:pt idx="92">
                  <c:v>1348789239.5239</c:v>
                </c:pt>
                <c:pt idx="93">
                  <c:v>1017978914.39266</c:v>
                </c:pt>
                <c:pt idx="94">
                  <c:v>768039037.133305</c:v>
                </c:pt>
                <c:pt idx="95">
                  <c:v>579279899.680285</c:v>
                </c:pt>
                <c:pt idx="96">
                  <c:v>436781553.632031</c:v>
                </c:pt>
                <c:pt idx="97">
                  <c:v>329245615.298131</c:v>
                </c:pt>
                <c:pt idx="98">
                  <c:v>248121372.418392</c:v>
                </c:pt>
                <c:pt idx="99">
                  <c:v>186941040.84806</c:v>
                </c:pt>
                <c:pt idx="100">
                  <c:v>140814978.484008</c:v>
                </c:pt>
                <c:pt idx="101">
                  <c:v>106048278.363355</c:v>
                </c:pt>
                <c:pt idx="102">
                  <c:v>79850061.4494609</c:v>
                </c:pt>
                <c:pt idx="103">
                  <c:v>60113162.7280302</c:v>
                </c:pt>
                <c:pt idx="104">
                  <c:v>45247240.8752318</c:v>
                </c:pt>
                <c:pt idx="105">
                  <c:v>34052409.2675959</c:v>
                </c:pt>
                <c:pt idx="106">
                  <c:v>25623681.778453</c:v>
                </c:pt>
                <c:pt idx="107">
                  <c:v>19278690.0538339</c:v>
                </c:pt>
                <c:pt idx="108">
                  <c:v>14503066.0148151</c:v>
                </c:pt>
                <c:pt idx="109">
                  <c:v>10909182.4974858</c:v>
                </c:pt>
                <c:pt idx="110">
                  <c:v>8204992.8967941</c:v>
                </c:pt>
              </c:numCache>
            </c:numRef>
          </c:yVal>
          <c:smooth val="0"/>
        </c:ser>
        <c:axId val="56528756"/>
        <c:axId val="28913528"/>
      </c:scatterChart>
      <c:valAx>
        <c:axId val="5652875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wavelength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13528"/>
        <c:crosses val="autoZero"/>
        <c:crossBetween val="midCat"/>
      </c:valAx>
      <c:valAx>
        <c:axId val="289135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F_lambda [W m^-3]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E+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287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Line profile (LTE, Milne-Eddington)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"F/F_c"</c:f>
              <c:strCache>
                <c:ptCount val="1"/>
                <c:pt idx="0">
                  <c:v>F/F_c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Lines'!$E$26:$E$106</c:f>
              <c:numCache>
                <c:formatCode>0.0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-7.4</c:v>
                </c:pt>
                <c:pt idx="4">
                  <c:v>-7.2</c:v>
                </c:pt>
                <c:pt idx="5">
                  <c:v>-7</c:v>
                </c:pt>
                <c:pt idx="6">
                  <c:v>-6.8</c:v>
                </c:pt>
                <c:pt idx="7">
                  <c:v>-6.6</c:v>
                </c:pt>
                <c:pt idx="8">
                  <c:v>-6.4</c:v>
                </c:pt>
                <c:pt idx="9">
                  <c:v>-6.2</c:v>
                </c:pt>
                <c:pt idx="10">
                  <c:v>-6</c:v>
                </c:pt>
                <c:pt idx="11">
                  <c:v>-5.8</c:v>
                </c:pt>
                <c:pt idx="12">
                  <c:v>-5.6</c:v>
                </c:pt>
                <c:pt idx="13">
                  <c:v>-5.4</c:v>
                </c:pt>
                <c:pt idx="14">
                  <c:v>-5.2</c:v>
                </c:pt>
                <c:pt idx="15">
                  <c:v>-5</c:v>
                </c:pt>
                <c:pt idx="16">
                  <c:v>-4.8</c:v>
                </c:pt>
                <c:pt idx="17">
                  <c:v>-4.6</c:v>
                </c:pt>
                <c:pt idx="18">
                  <c:v>-4.4</c:v>
                </c:pt>
                <c:pt idx="19">
                  <c:v>-4.2</c:v>
                </c:pt>
                <c:pt idx="20">
                  <c:v>-4</c:v>
                </c:pt>
                <c:pt idx="21">
                  <c:v>-3.8</c:v>
                </c:pt>
                <c:pt idx="22">
                  <c:v>-3.6</c:v>
                </c:pt>
                <c:pt idx="23">
                  <c:v>-3.4</c:v>
                </c:pt>
                <c:pt idx="24">
                  <c:v>-3.2</c:v>
                </c:pt>
                <c:pt idx="25">
                  <c:v>-3</c:v>
                </c:pt>
                <c:pt idx="26">
                  <c:v>-2.8</c:v>
                </c:pt>
                <c:pt idx="27">
                  <c:v>-2.6</c:v>
                </c:pt>
                <c:pt idx="28">
                  <c:v>-2.4</c:v>
                </c:pt>
                <c:pt idx="29">
                  <c:v>-2.2</c:v>
                </c:pt>
                <c:pt idx="30">
                  <c:v>-2</c:v>
                </c:pt>
                <c:pt idx="31">
                  <c:v>-1.8</c:v>
                </c:pt>
                <c:pt idx="32">
                  <c:v>-1.6</c:v>
                </c:pt>
                <c:pt idx="33">
                  <c:v>-1.4</c:v>
                </c:pt>
                <c:pt idx="34">
                  <c:v>-1.2</c:v>
                </c:pt>
                <c:pt idx="35">
                  <c:v>-1</c:v>
                </c:pt>
                <c:pt idx="36">
                  <c:v>-0.8</c:v>
                </c:pt>
                <c:pt idx="37">
                  <c:v>-0.6</c:v>
                </c:pt>
                <c:pt idx="38">
                  <c:v>-0.399999999999999</c:v>
                </c:pt>
                <c:pt idx="39">
                  <c:v>-0.199999999999999</c:v>
                </c:pt>
                <c:pt idx="40">
                  <c:v>0</c:v>
                </c:pt>
                <c:pt idx="41">
                  <c:v>0.200000000000001</c:v>
                </c:pt>
                <c:pt idx="42">
                  <c:v>0.4</c:v>
                </c:pt>
                <c:pt idx="43">
                  <c:v>0.6</c:v>
                </c:pt>
                <c:pt idx="44">
                  <c:v>0.800000000000001</c:v>
                </c:pt>
                <c:pt idx="45">
                  <c:v>1</c:v>
                </c:pt>
                <c:pt idx="46">
                  <c:v>1.2</c:v>
                </c:pt>
                <c:pt idx="47">
                  <c:v>1.4</c:v>
                </c:pt>
                <c:pt idx="48">
                  <c:v>1.6</c:v>
                </c:pt>
                <c:pt idx="49">
                  <c:v>1.8</c:v>
                </c:pt>
                <c:pt idx="50">
                  <c:v>2</c:v>
                </c:pt>
                <c:pt idx="51">
                  <c:v>2.2</c:v>
                </c:pt>
                <c:pt idx="52">
                  <c:v>2.4</c:v>
                </c:pt>
                <c:pt idx="53">
                  <c:v>2.6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3.4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4.2</c:v>
                </c:pt>
                <c:pt idx="62">
                  <c:v>4.4</c:v>
                </c:pt>
                <c:pt idx="63">
                  <c:v>4.6</c:v>
                </c:pt>
                <c:pt idx="64">
                  <c:v>4.8</c:v>
                </c:pt>
                <c:pt idx="65">
                  <c:v>5</c:v>
                </c:pt>
                <c:pt idx="66">
                  <c:v>5.2</c:v>
                </c:pt>
                <c:pt idx="67">
                  <c:v>5.4</c:v>
                </c:pt>
                <c:pt idx="68">
                  <c:v>5.6</c:v>
                </c:pt>
                <c:pt idx="69">
                  <c:v>5.8</c:v>
                </c:pt>
                <c:pt idx="70">
                  <c:v>6</c:v>
                </c:pt>
                <c:pt idx="71">
                  <c:v>6.2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7</c:v>
                </c:pt>
                <c:pt idx="76">
                  <c:v>7.2</c:v>
                </c:pt>
                <c:pt idx="77">
                  <c:v>7.4</c:v>
                </c:pt>
                <c:pt idx="78">
                  <c:v>7.6</c:v>
                </c:pt>
                <c:pt idx="79">
                  <c:v>7.8</c:v>
                </c:pt>
                <c:pt idx="80">
                  <c:v>8</c:v>
                </c:pt>
              </c:numCache>
            </c:numRef>
          </c:xVal>
          <c:yVal>
            <c:numRef>
              <c:f>'SA4 Lines'!$F$26:$F$106</c:f>
              <c:numCache>
                <c:formatCode>0.0000</c:formatCode>
                <c:ptCount val="81"/>
                <c:pt idx="0">
                  <c:v>0.999566384384061</c:v>
                </c:pt>
                <c:pt idx="1">
                  <c:v>0.999544246991149</c:v>
                </c:pt>
                <c:pt idx="2">
                  <c:v>0.999520380878724</c:v>
                </c:pt>
                <c:pt idx="3">
                  <c:v>0.999494602489665</c:v>
                </c:pt>
                <c:pt idx="4">
                  <c:v>0.999466703422786</c:v>
                </c:pt>
                <c:pt idx="5">
                  <c:v>0.999436446318686</c:v>
                </c:pt>
                <c:pt idx="6">
                  <c:v>0.999403559935431</c:v>
                </c:pt>
                <c:pt idx="7">
                  <c:v>0.99936773322835</c:v>
                </c:pt>
                <c:pt idx="8">
                  <c:v>0.999328608199444</c:v>
                </c:pt>
                <c:pt idx="9">
                  <c:v>0.999285771218724</c:v>
                </c:pt>
                <c:pt idx="10">
                  <c:v>0.999238742437332</c:v>
                </c:pt>
                <c:pt idx="11">
                  <c:v>0.999186962804096</c:v>
                </c:pt>
                <c:pt idx="12">
                  <c:v>0.999129778054217</c:v>
                </c:pt>
                <c:pt idx="13">
                  <c:v>0.999066418848346</c:v>
                </c:pt>
                <c:pt idx="14">
                  <c:v>0.998995975982852</c:v>
                </c:pt>
                <c:pt idx="15">
                  <c:v>0.998917369227752</c:v>
                </c:pt>
                <c:pt idx="16">
                  <c:v>0.998829307746951</c:v>
                </c:pt>
                <c:pt idx="17">
                  <c:v>0.998730238629316</c:v>
                </c:pt>
                <c:pt idx="18">
                  <c:v>0.998618275023392</c:v>
                </c:pt>
                <c:pt idx="19">
                  <c:v>0.998491074273794</c:v>
                </c:pt>
                <c:pt idx="20">
                  <c:v>0.998345548788121</c:v>
                </c:pt>
                <c:pt idx="21">
                  <c:v>0.998176954830855</c:v>
                </c:pt>
                <c:pt idx="22">
                  <c:v>0.997975729449817</c:v>
                </c:pt>
                <c:pt idx="23">
                  <c:v>0.997716795418441</c:v>
                </c:pt>
                <c:pt idx="24">
                  <c:v>0.997326072274732</c:v>
                </c:pt>
                <c:pt idx="25">
                  <c:v>0.996585481271694</c:v>
                </c:pt>
                <c:pt idx="26">
                  <c:v>0.994893233584978</c:v>
                </c:pt>
                <c:pt idx="27">
                  <c:v>0.990743220526713</c:v>
                </c:pt>
                <c:pt idx="28">
                  <c:v>0.980835292109982</c:v>
                </c:pt>
                <c:pt idx="29">
                  <c:v>0.959250129329401</c:v>
                </c:pt>
                <c:pt idx="30">
                  <c:v>0.918606145488419</c:v>
                </c:pt>
                <c:pt idx="31">
                  <c:v>0.855885739298277</c:v>
                </c:pt>
                <c:pt idx="32">
                  <c:v>0.779502084140409</c:v>
                </c:pt>
                <c:pt idx="33">
                  <c:v>0.705960949131993</c:v>
                </c:pt>
                <c:pt idx="34">
                  <c:v>0.647388274872848</c:v>
                </c:pt>
                <c:pt idx="35">
                  <c:v>0.606224683809485</c:v>
                </c:pt>
                <c:pt idx="36">
                  <c:v>0.579272895754522</c:v>
                </c:pt>
                <c:pt idx="37">
                  <c:v>0.562357763586628</c:v>
                </c:pt>
                <c:pt idx="38">
                  <c:v>0.552246194939668</c:v>
                </c:pt>
                <c:pt idx="39">
                  <c:v>0.546894886113772</c:v>
                </c:pt>
                <c:pt idx="40">
                  <c:v>0.545222598915915</c:v>
                </c:pt>
                <c:pt idx="41">
                  <c:v>0.546894886113772</c:v>
                </c:pt>
                <c:pt idx="42">
                  <c:v>0.552246194939668</c:v>
                </c:pt>
                <c:pt idx="43">
                  <c:v>0.562357763586628</c:v>
                </c:pt>
                <c:pt idx="44">
                  <c:v>0.579272895754522</c:v>
                </c:pt>
                <c:pt idx="45">
                  <c:v>0.606224683809485</c:v>
                </c:pt>
                <c:pt idx="46">
                  <c:v>0.647388274872848</c:v>
                </c:pt>
                <c:pt idx="47">
                  <c:v>0.705960949131993</c:v>
                </c:pt>
                <c:pt idx="48">
                  <c:v>0.77950208414041</c:v>
                </c:pt>
                <c:pt idx="49">
                  <c:v>0.855885739298278</c:v>
                </c:pt>
                <c:pt idx="50">
                  <c:v>0.918606145488419</c:v>
                </c:pt>
                <c:pt idx="51">
                  <c:v>0.959250129329401</c:v>
                </c:pt>
                <c:pt idx="52">
                  <c:v>0.980835292109982</c:v>
                </c:pt>
                <c:pt idx="53">
                  <c:v>0.990743220526713</c:v>
                </c:pt>
                <c:pt idx="54">
                  <c:v>0.994893233584978</c:v>
                </c:pt>
                <c:pt idx="55">
                  <c:v>0.996585481271694</c:v>
                </c:pt>
                <c:pt idx="56">
                  <c:v>0.997326072274732</c:v>
                </c:pt>
                <c:pt idx="57">
                  <c:v>0.997716795418441</c:v>
                </c:pt>
                <c:pt idx="58">
                  <c:v>0.997975729449817</c:v>
                </c:pt>
                <c:pt idx="59">
                  <c:v>0.998176954830855</c:v>
                </c:pt>
                <c:pt idx="60">
                  <c:v>0.998345548788121</c:v>
                </c:pt>
                <c:pt idx="61">
                  <c:v>0.998491074273794</c:v>
                </c:pt>
                <c:pt idx="62">
                  <c:v>0.998618275023392</c:v>
                </c:pt>
                <c:pt idx="63">
                  <c:v>0.998730238629316</c:v>
                </c:pt>
                <c:pt idx="64">
                  <c:v>0.998829307746951</c:v>
                </c:pt>
                <c:pt idx="65">
                  <c:v>0.998917369227752</c:v>
                </c:pt>
                <c:pt idx="66">
                  <c:v>0.998995975982852</c:v>
                </c:pt>
                <c:pt idx="67">
                  <c:v>0.999066418848346</c:v>
                </c:pt>
                <c:pt idx="68">
                  <c:v>0.999129778054217</c:v>
                </c:pt>
                <c:pt idx="69">
                  <c:v>0.999186962804096</c:v>
                </c:pt>
                <c:pt idx="70">
                  <c:v>0.999238742437332</c:v>
                </c:pt>
                <c:pt idx="71">
                  <c:v>0.999285771218724</c:v>
                </c:pt>
                <c:pt idx="72">
                  <c:v>0.999328608199444</c:v>
                </c:pt>
                <c:pt idx="73">
                  <c:v>0.99936773322835</c:v>
                </c:pt>
                <c:pt idx="74">
                  <c:v>0.999403559935431</c:v>
                </c:pt>
                <c:pt idx="75">
                  <c:v>0.999436446318686</c:v>
                </c:pt>
                <c:pt idx="76">
                  <c:v>0.999466703422786</c:v>
                </c:pt>
                <c:pt idx="77">
                  <c:v>0.999494602489665</c:v>
                </c:pt>
                <c:pt idx="78">
                  <c:v>0.999520380878724</c:v>
                </c:pt>
                <c:pt idx="79">
                  <c:v>0.999544246991149</c:v>
                </c:pt>
                <c:pt idx="80">
                  <c:v>0.999566384384061</c:v>
                </c:pt>
              </c:numCache>
            </c:numRef>
          </c:yVal>
          <c:smooth val="0"/>
        </c:ser>
        <c:axId val="46651933"/>
        <c:axId val="76463050"/>
      </c:scatterChart>
      <c:valAx>
        <c:axId val="46651933"/>
        <c:scaling>
          <c:orientation val="minMax"/>
          <c:max val="8"/>
          <c:min val="-8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= (nu - nu0)/Delta nu_D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63050"/>
        <c:crosses val="autoZero"/>
        <c:crossBetween val="midCat"/>
      </c:valAx>
      <c:valAx>
        <c:axId val="76463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F/F_c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5193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Curve of growth (log-log)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"with damping"</c:f>
              <c:strCache>
                <c:ptCount val="1"/>
                <c:pt idx="0">
                  <c:v>with damping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Lines'!$H$26:$H$58</c:f>
              <c:numCache>
                <c:formatCode>0.00E+00</c:formatCode>
                <c:ptCount val="33"/>
                <c:pt idx="0">
                  <c:v>0.01</c:v>
                </c:pt>
                <c:pt idx="1">
                  <c:v>0.0177827941003892</c:v>
                </c:pt>
                <c:pt idx="2">
                  <c:v>0.0316227766016838</c:v>
                </c:pt>
                <c:pt idx="3">
                  <c:v>0.0562341325190349</c:v>
                </c:pt>
                <c:pt idx="4">
                  <c:v>0.1</c:v>
                </c:pt>
                <c:pt idx="5">
                  <c:v>0.177827941003892</c:v>
                </c:pt>
                <c:pt idx="6">
                  <c:v>0.316227766016838</c:v>
                </c:pt>
                <c:pt idx="7">
                  <c:v>0.562341325190349</c:v>
                </c:pt>
                <c:pt idx="8">
                  <c:v>1</c:v>
                </c:pt>
                <c:pt idx="9">
                  <c:v>1.77827941003892</c:v>
                </c:pt>
                <c:pt idx="10">
                  <c:v>3.16227766016838</c:v>
                </c:pt>
                <c:pt idx="11">
                  <c:v>5.62341325190349</c:v>
                </c:pt>
                <c:pt idx="12">
                  <c:v>10</c:v>
                </c:pt>
                <c:pt idx="13">
                  <c:v>17.7827941003892</c:v>
                </c:pt>
                <c:pt idx="14">
                  <c:v>31.6227766016838</c:v>
                </c:pt>
                <c:pt idx="15">
                  <c:v>56.2341325190349</c:v>
                </c:pt>
                <c:pt idx="16">
                  <c:v>100</c:v>
                </c:pt>
                <c:pt idx="17">
                  <c:v>177.827941003892</c:v>
                </c:pt>
                <c:pt idx="18">
                  <c:v>316.227766016838</c:v>
                </c:pt>
                <c:pt idx="19">
                  <c:v>562.341325190349</c:v>
                </c:pt>
                <c:pt idx="20">
                  <c:v>1000</c:v>
                </c:pt>
                <c:pt idx="21">
                  <c:v>1778.27941003892</c:v>
                </c:pt>
                <c:pt idx="22">
                  <c:v>3162.27766016838</c:v>
                </c:pt>
                <c:pt idx="23">
                  <c:v>5623.41325190349</c:v>
                </c:pt>
                <c:pt idx="24">
                  <c:v>10000</c:v>
                </c:pt>
                <c:pt idx="25">
                  <c:v>17782.7941003892</c:v>
                </c:pt>
                <c:pt idx="26">
                  <c:v>31622.7766016838</c:v>
                </c:pt>
                <c:pt idx="27">
                  <c:v>56234.1325190349</c:v>
                </c:pt>
                <c:pt idx="28">
                  <c:v>100000</c:v>
                </c:pt>
                <c:pt idx="29">
                  <c:v>177827.941003892</c:v>
                </c:pt>
                <c:pt idx="30">
                  <c:v>316227.766016838</c:v>
                </c:pt>
                <c:pt idx="31">
                  <c:v>562341.325190349</c:v>
                </c:pt>
                <c:pt idx="32">
                  <c:v>1000000</c:v>
                </c:pt>
              </c:numCache>
            </c:numRef>
          </c:xVal>
          <c:yVal>
            <c:numRef>
              <c:f>'SA4 Lines'!$I$26:$I$58</c:f>
              <c:numCache>
                <c:formatCode>0.0000</c:formatCode>
                <c:ptCount val="33"/>
                <c:pt idx="0">
                  <c:v>0.00889013228417648</c:v>
                </c:pt>
                <c:pt idx="1">
                  <c:v>0.015723301111408</c:v>
                </c:pt>
                <c:pt idx="2">
                  <c:v>0.0276936614764923</c:v>
                </c:pt>
                <c:pt idx="3">
                  <c:v>0.048428820394977</c:v>
                </c:pt>
                <c:pt idx="4">
                  <c:v>0.083665532397056</c:v>
                </c:pt>
                <c:pt idx="5">
                  <c:v>0.14168566703901</c:v>
                </c:pt>
                <c:pt idx="6">
                  <c:v>0.232612448112555</c:v>
                </c:pt>
                <c:pt idx="7">
                  <c:v>0.365260741322057</c:v>
                </c:pt>
                <c:pt idx="8">
                  <c:v>0.541622239280112</c:v>
                </c:pt>
                <c:pt idx="9">
                  <c:v>0.752943187971951</c:v>
                </c:pt>
                <c:pt idx="10">
                  <c:v>0.982580617237508</c:v>
                </c:pt>
                <c:pt idx="11">
                  <c:v>1.21421087117995</c:v>
                </c:pt>
                <c:pt idx="12">
                  <c:v>1.43821398142378</c:v>
                </c:pt>
                <c:pt idx="13">
                  <c:v>1.65294039250646</c:v>
                </c:pt>
                <c:pt idx="14">
                  <c:v>1.86331282917176</c:v>
                </c:pt>
                <c:pt idx="15">
                  <c:v>2.07984375105597</c:v>
                </c:pt>
                <c:pt idx="16">
                  <c:v>2.31936551015706</c:v>
                </c:pt>
                <c:pt idx="17">
                  <c:v>2.6076164057337</c:v>
                </c:pt>
                <c:pt idx="18">
                  <c:v>2.98335263146893</c:v>
                </c:pt>
                <c:pt idx="19">
                  <c:v>3.50307129087983</c:v>
                </c:pt>
                <c:pt idx="20">
                  <c:v>4.24453715768078</c:v>
                </c:pt>
                <c:pt idx="21">
                  <c:v>5.3072476419943</c:v>
                </c:pt>
                <c:pt idx="22">
                  <c:v>6.81070844450616</c:v>
                </c:pt>
                <c:pt idx="23">
                  <c:v>8.89578822003543</c:v>
                </c:pt>
                <c:pt idx="24">
                  <c:v>11.7344028149635</c:v>
                </c:pt>
                <c:pt idx="25">
                  <c:v>15.5468062593061</c:v>
                </c:pt>
                <c:pt idx="26">
                  <c:v>20.6217356718671</c:v>
                </c:pt>
                <c:pt idx="27">
                  <c:v>27.3363405636054</c:v>
                </c:pt>
                <c:pt idx="28">
                  <c:v>36.1751255707164</c:v>
                </c:pt>
                <c:pt idx="29">
                  <c:v>47.7462586055813</c:v>
                </c:pt>
                <c:pt idx="30">
                  <c:v>62.7897440735078</c:v>
                </c:pt>
                <c:pt idx="31">
                  <c:v>82.1654728101522</c:v>
                </c:pt>
                <c:pt idx="32">
                  <c:v>106.799335529045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"Gaussian only"</c:f>
              <c:strCache>
                <c:ptCount val="1"/>
                <c:pt idx="0">
                  <c:v>Gaussian only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Lines'!$H$26:$H$58</c:f>
              <c:numCache>
                <c:formatCode>0.00E+00</c:formatCode>
                <c:ptCount val="33"/>
                <c:pt idx="0">
                  <c:v>0.01</c:v>
                </c:pt>
                <c:pt idx="1">
                  <c:v>0.0177827941003892</c:v>
                </c:pt>
                <c:pt idx="2">
                  <c:v>0.0316227766016838</c:v>
                </c:pt>
                <c:pt idx="3">
                  <c:v>0.0562341325190349</c:v>
                </c:pt>
                <c:pt idx="4">
                  <c:v>0.1</c:v>
                </c:pt>
                <c:pt idx="5">
                  <c:v>0.177827941003892</c:v>
                </c:pt>
                <c:pt idx="6">
                  <c:v>0.316227766016838</c:v>
                </c:pt>
                <c:pt idx="7">
                  <c:v>0.562341325190349</c:v>
                </c:pt>
                <c:pt idx="8">
                  <c:v>1</c:v>
                </c:pt>
                <c:pt idx="9">
                  <c:v>1.77827941003892</c:v>
                </c:pt>
                <c:pt idx="10">
                  <c:v>3.16227766016838</c:v>
                </c:pt>
                <c:pt idx="11">
                  <c:v>5.62341325190349</c:v>
                </c:pt>
                <c:pt idx="12">
                  <c:v>10</c:v>
                </c:pt>
                <c:pt idx="13">
                  <c:v>17.7827941003892</c:v>
                </c:pt>
                <c:pt idx="14">
                  <c:v>31.6227766016838</c:v>
                </c:pt>
                <c:pt idx="15">
                  <c:v>56.2341325190349</c:v>
                </c:pt>
                <c:pt idx="16">
                  <c:v>100</c:v>
                </c:pt>
                <c:pt idx="17">
                  <c:v>177.827941003892</c:v>
                </c:pt>
                <c:pt idx="18">
                  <c:v>316.227766016838</c:v>
                </c:pt>
                <c:pt idx="19">
                  <c:v>562.341325190349</c:v>
                </c:pt>
                <c:pt idx="20">
                  <c:v>1000</c:v>
                </c:pt>
                <c:pt idx="21">
                  <c:v>1778.27941003892</c:v>
                </c:pt>
                <c:pt idx="22">
                  <c:v>3162.27766016838</c:v>
                </c:pt>
                <c:pt idx="23">
                  <c:v>5623.41325190349</c:v>
                </c:pt>
                <c:pt idx="24">
                  <c:v>10000</c:v>
                </c:pt>
                <c:pt idx="25">
                  <c:v>17782.7941003892</c:v>
                </c:pt>
                <c:pt idx="26">
                  <c:v>31622.7766016838</c:v>
                </c:pt>
                <c:pt idx="27">
                  <c:v>56234.1325190349</c:v>
                </c:pt>
                <c:pt idx="28">
                  <c:v>100000</c:v>
                </c:pt>
                <c:pt idx="29">
                  <c:v>177827.941003892</c:v>
                </c:pt>
                <c:pt idx="30">
                  <c:v>316227.766016838</c:v>
                </c:pt>
                <c:pt idx="31">
                  <c:v>562341.325190349</c:v>
                </c:pt>
                <c:pt idx="32">
                  <c:v>1000000</c:v>
                </c:pt>
              </c:numCache>
            </c:numRef>
          </c:xVal>
          <c:yVal>
            <c:numRef>
              <c:f>'SA4 Lines'!$J$26:$J$58</c:f>
              <c:numCache>
                <c:formatCode>0.0000</c:formatCode>
                <c:ptCount val="33"/>
                <c:pt idx="0">
                  <c:v>0.00880235162313871</c:v>
                </c:pt>
                <c:pt idx="1">
                  <c:v>0.0155682214366008</c:v>
                </c:pt>
                <c:pt idx="2">
                  <c:v>0.0274210288355079</c:v>
                </c:pt>
                <c:pt idx="3">
                  <c:v>0.0479535150923839</c:v>
                </c:pt>
                <c:pt idx="4">
                  <c:v>0.082848196590817</c:v>
                </c:pt>
                <c:pt idx="5">
                  <c:v>0.140309825601731</c:v>
                </c:pt>
                <c:pt idx="6">
                  <c:v>0.230364871896399</c:v>
                </c:pt>
                <c:pt idx="7">
                  <c:v>0.361717993680138</c:v>
                </c:pt>
                <c:pt idx="8">
                  <c:v>0.536213968310033</c:v>
                </c:pt>
                <c:pt idx="9">
                  <c:v>0.744813302332316</c:v>
                </c:pt>
                <c:pt idx="10">
                  <c:v>0.97027239906462</c:v>
                </c:pt>
                <c:pt idx="11">
                  <c:v>1.19515243573953</c:v>
                </c:pt>
                <c:pt idx="12">
                  <c:v>1.40793947193853</c:v>
                </c:pt>
                <c:pt idx="13">
                  <c:v>1.60383535390482</c:v>
                </c:pt>
                <c:pt idx="14">
                  <c:v>1.78250856446155</c:v>
                </c:pt>
                <c:pt idx="15">
                  <c:v>1.94569942983676</c:v>
                </c:pt>
                <c:pt idx="16">
                  <c:v>2.0957304189654</c:v>
                </c:pt>
                <c:pt idx="17">
                  <c:v>2.23481681883922</c:v>
                </c:pt>
                <c:pt idx="18">
                  <c:v>2.364833650468</c:v>
                </c:pt>
                <c:pt idx="19">
                  <c:v>2.48728875198699</c:v>
                </c:pt>
                <c:pt idx="20">
                  <c:v>2.60337037059908</c:v>
                </c:pt>
                <c:pt idx="21">
                  <c:v>2.71401116248708</c:v>
                </c:pt>
                <c:pt idx="22">
                  <c:v>2.81994688913839</c:v>
                </c:pt>
                <c:pt idx="23">
                  <c:v>2.92176386981863</c:v>
                </c:pt>
                <c:pt idx="24">
                  <c:v>3.01993527256783</c:v>
                </c:pt>
                <c:pt idx="25">
                  <c:v>3.1148481659349</c:v>
                </c:pt>
                <c:pt idx="26">
                  <c:v>3.20682350282373</c:v>
                </c:pt>
                <c:pt idx="27">
                  <c:v>3.29613084510163</c:v>
                </c:pt>
                <c:pt idx="28">
                  <c:v>3.38299929421125</c:v>
                </c:pt>
                <c:pt idx="29">
                  <c:v>3.4676257179103</c:v>
                </c:pt>
                <c:pt idx="30">
                  <c:v>3.55018076102251</c:v>
                </c:pt>
                <c:pt idx="31">
                  <c:v>3.63081396562483</c:v>
                </c:pt>
                <c:pt idx="32">
                  <c:v>3.70965682320698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"linear limit"</c:f>
              <c:strCache>
                <c:ptCount val="1"/>
                <c:pt idx="0">
                  <c:v>linear limit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'SA4 Lines'!$H$26:$H$58</c:f>
              <c:numCache>
                <c:formatCode>0.00E+00</c:formatCode>
                <c:ptCount val="33"/>
                <c:pt idx="0">
                  <c:v>0.01</c:v>
                </c:pt>
                <c:pt idx="1">
                  <c:v>0.0177827941003892</c:v>
                </c:pt>
                <c:pt idx="2">
                  <c:v>0.0316227766016838</c:v>
                </c:pt>
                <c:pt idx="3">
                  <c:v>0.0562341325190349</c:v>
                </c:pt>
                <c:pt idx="4">
                  <c:v>0.1</c:v>
                </c:pt>
                <c:pt idx="5">
                  <c:v>0.177827941003892</c:v>
                </c:pt>
                <c:pt idx="6">
                  <c:v>0.316227766016838</c:v>
                </c:pt>
                <c:pt idx="7">
                  <c:v>0.562341325190349</c:v>
                </c:pt>
                <c:pt idx="8">
                  <c:v>1</c:v>
                </c:pt>
                <c:pt idx="9">
                  <c:v>1.77827941003892</c:v>
                </c:pt>
                <c:pt idx="10">
                  <c:v>3.16227766016838</c:v>
                </c:pt>
                <c:pt idx="11">
                  <c:v>5.62341325190349</c:v>
                </c:pt>
                <c:pt idx="12">
                  <c:v>10</c:v>
                </c:pt>
                <c:pt idx="13">
                  <c:v>17.7827941003892</c:v>
                </c:pt>
                <c:pt idx="14">
                  <c:v>31.6227766016838</c:v>
                </c:pt>
                <c:pt idx="15">
                  <c:v>56.2341325190349</c:v>
                </c:pt>
                <c:pt idx="16">
                  <c:v>100</c:v>
                </c:pt>
                <c:pt idx="17">
                  <c:v>177.827941003892</c:v>
                </c:pt>
                <c:pt idx="18">
                  <c:v>316.227766016838</c:v>
                </c:pt>
                <c:pt idx="19">
                  <c:v>562.341325190349</c:v>
                </c:pt>
                <c:pt idx="20">
                  <c:v>1000</c:v>
                </c:pt>
                <c:pt idx="21">
                  <c:v>1778.27941003892</c:v>
                </c:pt>
                <c:pt idx="22">
                  <c:v>3162.27766016838</c:v>
                </c:pt>
                <c:pt idx="23">
                  <c:v>5623.41325190349</c:v>
                </c:pt>
                <c:pt idx="24">
                  <c:v>10000</c:v>
                </c:pt>
                <c:pt idx="25">
                  <c:v>17782.7941003892</c:v>
                </c:pt>
                <c:pt idx="26">
                  <c:v>31622.7766016838</c:v>
                </c:pt>
                <c:pt idx="27">
                  <c:v>56234.1325190349</c:v>
                </c:pt>
                <c:pt idx="28">
                  <c:v>100000</c:v>
                </c:pt>
                <c:pt idx="29">
                  <c:v>177827.941003892</c:v>
                </c:pt>
                <c:pt idx="30">
                  <c:v>316227.766016838</c:v>
                </c:pt>
                <c:pt idx="31">
                  <c:v>562341.325190349</c:v>
                </c:pt>
                <c:pt idx="32">
                  <c:v>1000000</c:v>
                </c:pt>
              </c:numCache>
            </c:numRef>
          </c:xVal>
          <c:yVal>
            <c:numRef>
              <c:f>'SA4 Lines'!$K$26:$K$58</c:f>
              <c:numCache>
                <c:formatCode>0.0000</c:formatCode>
                <c:ptCount val="33"/>
                <c:pt idx="0">
                  <c:v>0.00886226925452758</c:v>
                </c:pt>
                <c:pt idx="1">
                  <c:v>0.0157595909415474</c:v>
                </c:pt>
                <c:pt idx="2">
                  <c:v>0.0280249560819896</c:v>
                </c:pt>
                <c:pt idx="3">
                  <c:v>0.0498362023678473</c:v>
                </c:pt>
                <c:pt idx="4">
                  <c:v>0.0886226925452758</c:v>
                </c:pt>
                <c:pt idx="5">
                  <c:v>0.157595909415474</c:v>
                </c:pt>
                <c:pt idx="6">
                  <c:v>0.280249560819896</c:v>
                </c:pt>
                <c:pt idx="7">
                  <c:v>0.498362023678473</c:v>
                </c:pt>
                <c:pt idx="8">
                  <c:v>0.886226925452758</c:v>
                </c:pt>
                <c:pt idx="9">
                  <c:v>1.57595909415474</c:v>
                </c:pt>
                <c:pt idx="10">
                  <c:v>2.80249560819896</c:v>
                </c:pt>
                <c:pt idx="11">
                  <c:v>4.98362023678473</c:v>
                </c:pt>
                <c:pt idx="12">
                  <c:v>8.86226925452758</c:v>
                </c:pt>
                <c:pt idx="13">
                  <c:v>15.7595909415474</c:v>
                </c:pt>
                <c:pt idx="14">
                  <c:v>28.0249560819896</c:v>
                </c:pt>
                <c:pt idx="15">
                  <c:v>49.8362023678473</c:v>
                </c:pt>
                <c:pt idx="16">
                  <c:v>88.6226925452758</c:v>
                </c:pt>
                <c:pt idx="17">
                  <c:v>157.595909415474</c:v>
                </c:pt>
                <c:pt idx="18">
                  <c:v>280.249560819896</c:v>
                </c:pt>
                <c:pt idx="19">
                  <c:v>498.362023678473</c:v>
                </c:pt>
                <c:pt idx="20">
                  <c:v>886.226925452758</c:v>
                </c:pt>
                <c:pt idx="21">
                  <c:v>1575.95909415474</c:v>
                </c:pt>
                <c:pt idx="22">
                  <c:v>2802.49560819896</c:v>
                </c:pt>
                <c:pt idx="23">
                  <c:v>4983.62023678473</c:v>
                </c:pt>
                <c:pt idx="24">
                  <c:v>8862.26925452758</c:v>
                </c:pt>
                <c:pt idx="25">
                  <c:v>15759.5909415474</c:v>
                </c:pt>
                <c:pt idx="26">
                  <c:v>28024.9560819896</c:v>
                </c:pt>
                <c:pt idx="27">
                  <c:v>49836.2023678473</c:v>
                </c:pt>
                <c:pt idx="28">
                  <c:v>88622.6925452758</c:v>
                </c:pt>
                <c:pt idx="29">
                  <c:v>157595.909415474</c:v>
                </c:pt>
                <c:pt idx="30">
                  <c:v>280249.560819896</c:v>
                </c:pt>
                <c:pt idx="31">
                  <c:v>498362.023678473</c:v>
                </c:pt>
                <c:pt idx="32">
                  <c:v>886226.925452758</c:v>
                </c:pt>
              </c:numCache>
            </c:numRef>
          </c:yVal>
          <c:smooth val="0"/>
        </c:ser>
        <c:axId val="51640941"/>
        <c:axId val="37481122"/>
      </c:scatterChart>
      <c:valAx>
        <c:axId val="51640941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eta0 (proportional to number of absorbers)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81122"/>
        <c:crosses val="autoZero"/>
        <c:crossBetween val="midCat"/>
      </c:valAx>
      <c:valAx>
        <c:axId val="37481122"/>
        <c:scaling>
          <c:logBase val="10"/>
          <c:orientation val="minMax"/>
          <c:max val="1000"/>
          <c:min val="0.00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 / Delta nu_D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E+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409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160920</xdr:rowOff>
    </xdr:from>
    <xdr:to>
      <xdr:col>13</xdr:col>
      <xdr:colOff>574200</xdr:colOff>
      <xdr:row>19</xdr:row>
      <xdr:rowOff>172440</xdr:rowOff>
    </xdr:to>
    <xdr:graphicFrame>
      <xdr:nvGraphicFramePr>
        <xdr:cNvPr id="0" name="Chart 1"/>
        <xdr:cNvGraphicFramePr/>
      </xdr:nvGraphicFramePr>
      <xdr:xfrm>
        <a:off x="789444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17</xdr:col>
      <xdr:colOff>101880</xdr:colOff>
      <xdr:row>19</xdr:row>
      <xdr:rowOff>172440</xdr:rowOff>
    </xdr:to>
    <xdr:graphicFrame>
      <xdr:nvGraphicFramePr>
        <xdr:cNvPr id="1" name="Chart 1"/>
        <xdr:cNvGraphicFramePr/>
      </xdr:nvGraphicFramePr>
      <xdr:xfrm>
        <a:off x="986796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160920</xdr:rowOff>
    </xdr:from>
    <xdr:to>
      <xdr:col>18</xdr:col>
      <xdr:colOff>477000</xdr:colOff>
      <xdr:row>19</xdr:row>
      <xdr:rowOff>172440</xdr:rowOff>
    </xdr:to>
    <xdr:graphicFrame>
      <xdr:nvGraphicFramePr>
        <xdr:cNvPr id="2" name="Chart 1"/>
        <xdr:cNvGraphicFramePr/>
      </xdr:nvGraphicFramePr>
      <xdr:xfrm>
        <a:off x="1085472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160920</xdr:rowOff>
    </xdr:from>
    <xdr:to>
      <xdr:col>18</xdr:col>
      <xdr:colOff>477000</xdr:colOff>
      <xdr:row>37</xdr:row>
      <xdr:rowOff>172440</xdr:rowOff>
    </xdr:to>
    <xdr:graphicFrame>
      <xdr:nvGraphicFramePr>
        <xdr:cNvPr id="3" name="Chart 2"/>
        <xdr:cNvGraphicFramePr/>
      </xdr:nvGraphicFramePr>
      <xdr:xfrm>
        <a:off x="10854720" y="4191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15</xdr:col>
      <xdr:colOff>338040</xdr:colOff>
      <xdr:row>19</xdr:row>
      <xdr:rowOff>172440</xdr:rowOff>
    </xdr:to>
    <xdr:graphicFrame>
      <xdr:nvGraphicFramePr>
        <xdr:cNvPr id="4" name="Chart 1"/>
        <xdr:cNvGraphicFramePr/>
      </xdr:nvGraphicFramePr>
      <xdr:xfrm>
        <a:off x="888120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160920</xdr:rowOff>
    </xdr:from>
    <xdr:to>
      <xdr:col>15</xdr:col>
      <xdr:colOff>338040</xdr:colOff>
      <xdr:row>36</xdr:row>
      <xdr:rowOff>108360</xdr:rowOff>
    </xdr:to>
    <xdr:graphicFrame>
      <xdr:nvGraphicFramePr>
        <xdr:cNvPr id="5" name="Chart 2"/>
        <xdr:cNvGraphicFramePr/>
      </xdr:nvGraphicFramePr>
      <xdr:xfrm>
        <a:off x="8881200" y="4191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3</xdr:row>
      <xdr:rowOff>160920</xdr:rowOff>
    </xdr:from>
    <xdr:to>
      <xdr:col>27</xdr:col>
      <xdr:colOff>4680</xdr:colOff>
      <xdr:row>19</xdr:row>
      <xdr:rowOff>60120</xdr:rowOff>
    </xdr:to>
    <xdr:graphicFrame>
      <xdr:nvGraphicFramePr>
        <xdr:cNvPr id="6" name="Chart 1"/>
        <xdr:cNvGraphicFramePr/>
      </xdr:nvGraphicFramePr>
      <xdr:xfrm>
        <a:off x="1640016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22</xdr:row>
      <xdr:rowOff>48240</xdr:rowOff>
    </xdr:from>
    <xdr:to>
      <xdr:col>32</xdr:col>
      <xdr:colOff>187200</xdr:colOff>
      <xdr:row>40</xdr:row>
      <xdr:rowOff>106560</xdr:rowOff>
    </xdr:to>
    <xdr:graphicFrame>
      <xdr:nvGraphicFramePr>
        <xdr:cNvPr id="7" name="Chart 2"/>
        <xdr:cNvGraphicFramePr/>
      </xdr:nvGraphicFramePr>
      <xdr:xfrm>
        <a:off x="16400160" y="438156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15</xdr:col>
      <xdr:colOff>338040</xdr:colOff>
      <xdr:row>19</xdr:row>
      <xdr:rowOff>60120</xdr:rowOff>
    </xdr:to>
    <xdr:graphicFrame>
      <xdr:nvGraphicFramePr>
        <xdr:cNvPr id="8" name="Chart 1"/>
        <xdr:cNvGraphicFramePr/>
      </xdr:nvGraphicFramePr>
      <xdr:xfrm>
        <a:off x="888120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48240</xdr:rowOff>
    </xdr:from>
    <xdr:to>
      <xdr:col>15</xdr:col>
      <xdr:colOff>338040</xdr:colOff>
      <xdr:row>37</xdr:row>
      <xdr:rowOff>60120</xdr:rowOff>
    </xdr:to>
    <xdr:graphicFrame>
      <xdr:nvGraphicFramePr>
        <xdr:cNvPr id="9" name="Chart 2"/>
        <xdr:cNvGraphicFramePr/>
      </xdr:nvGraphicFramePr>
      <xdr:xfrm>
        <a:off x="8881200" y="4191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160920</xdr:rowOff>
    </xdr:from>
    <xdr:to>
      <xdr:col>20</xdr:col>
      <xdr:colOff>240840</xdr:colOff>
      <xdr:row>19</xdr:row>
      <xdr:rowOff>60120</xdr:rowOff>
    </xdr:to>
    <xdr:graphicFrame>
      <xdr:nvGraphicFramePr>
        <xdr:cNvPr id="10" name="Chart 1"/>
        <xdr:cNvGraphicFramePr/>
      </xdr:nvGraphicFramePr>
      <xdr:xfrm>
        <a:off x="1184148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48240</xdr:rowOff>
    </xdr:from>
    <xdr:to>
      <xdr:col>20</xdr:col>
      <xdr:colOff>240840</xdr:colOff>
      <xdr:row>37</xdr:row>
      <xdr:rowOff>60120</xdr:rowOff>
    </xdr:to>
    <xdr:graphicFrame>
      <xdr:nvGraphicFramePr>
        <xdr:cNvPr id="11" name="Chart 2"/>
        <xdr:cNvGraphicFramePr/>
      </xdr:nvGraphicFramePr>
      <xdr:xfrm>
        <a:off x="11841480" y="4191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39</xdr:row>
      <xdr:rowOff>48240</xdr:rowOff>
    </xdr:from>
    <xdr:to>
      <xdr:col>20</xdr:col>
      <xdr:colOff>240840</xdr:colOff>
      <xdr:row>55</xdr:row>
      <xdr:rowOff>60120</xdr:rowOff>
    </xdr:to>
    <xdr:graphicFrame>
      <xdr:nvGraphicFramePr>
        <xdr:cNvPr id="12" name="Chart 3"/>
        <xdr:cNvGraphicFramePr/>
      </xdr:nvGraphicFramePr>
      <xdr:xfrm>
        <a:off x="11841480" y="7620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15</xdr:col>
      <xdr:colOff>338040</xdr:colOff>
      <xdr:row>19</xdr:row>
      <xdr:rowOff>60120</xdr:rowOff>
    </xdr:to>
    <xdr:graphicFrame>
      <xdr:nvGraphicFramePr>
        <xdr:cNvPr id="13" name="Chart 1"/>
        <xdr:cNvGraphicFramePr/>
      </xdr:nvGraphicFramePr>
      <xdr:xfrm>
        <a:off x="888120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98</xdr:row>
      <xdr:rowOff>174600</xdr:rowOff>
    </xdr:from>
    <xdr:to>
      <xdr:col>5</xdr:col>
      <xdr:colOff>198720</xdr:colOff>
      <xdr:row>114</xdr:row>
      <xdr:rowOff>186480</xdr:rowOff>
    </xdr:to>
    <xdr:graphicFrame>
      <xdr:nvGraphicFramePr>
        <xdr:cNvPr id="14" name="Chart 1"/>
        <xdr:cNvGraphicFramePr/>
      </xdr:nvGraphicFramePr>
      <xdr:xfrm>
        <a:off x="0" y="19240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98</xdr:row>
      <xdr:rowOff>174600</xdr:rowOff>
    </xdr:from>
    <xdr:to>
      <xdr:col>15</xdr:col>
      <xdr:colOff>833400</xdr:colOff>
      <xdr:row>114</xdr:row>
      <xdr:rowOff>186480</xdr:rowOff>
    </xdr:to>
    <xdr:graphicFrame>
      <xdr:nvGraphicFramePr>
        <xdr:cNvPr id="15" name="Chart 2"/>
        <xdr:cNvGraphicFramePr/>
      </xdr:nvGraphicFramePr>
      <xdr:xfrm>
        <a:off x="9867960" y="19240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116</xdr:row>
      <xdr:rowOff>174600</xdr:rowOff>
    </xdr:from>
    <xdr:to>
      <xdr:col>15</xdr:col>
      <xdr:colOff>833400</xdr:colOff>
      <xdr:row>132</xdr:row>
      <xdr:rowOff>186480</xdr:rowOff>
    </xdr:to>
    <xdr:graphicFrame>
      <xdr:nvGraphicFramePr>
        <xdr:cNvPr id="16" name="Chart 3"/>
        <xdr:cNvGraphicFramePr/>
      </xdr:nvGraphicFramePr>
      <xdr:xfrm>
        <a:off x="9867960" y="22669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3</xdr:row>
      <xdr:rowOff>160920</xdr:rowOff>
    </xdr:from>
    <xdr:to>
      <xdr:col>28</xdr:col>
      <xdr:colOff>4680</xdr:colOff>
      <xdr:row>19</xdr:row>
      <xdr:rowOff>172440</xdr:rowOff>
    </xdr:to>
    <xdr:graphicFrame>
      <xdr:nvGraphicFramePr>
        <xdr:cNvPr id="17" name="Chart 1"/>
        <xdr:cNvGraphicFramePr/>
      </xdr:nvGraphicFramePr>
      <xdr:xfrm>
        <a:off x="16379280" y="762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21</xdr:row>
      <xdr:rowOff>160920</xdr:rowOff>
    </xdr:from>
    <xdr:to>
      <xdr:col>28</xdr:col>
      <xdr:colOff>4680</xdr:colOff>
      <xdr:row>36</xdr:row>
      <xdr:rowOff>108360</xdr:rowOff>
    </xdr:to>
    <xdr:graphicFrame>
      <xdr:nvGraphicFramePr>
        <xdr:cNvPr id="18" name="Chart 2"/>
        <xdr:cNvGraphicFramePr/>
      </xdr:nvGraphicFramePr>
      <xdr:xfrm>
        <a:off x="16379280" y="4191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home/user/Radiative-transfer-/Radiative_Transfer_Lab.xlsx" TargetMode="External"/><Relationship Id="rId2" Type="http://schemas.openxmlformats.org/officeDocument/2006/relationships/hyperlink" Target="../../../../../../home/user/Radiative-transfer-/Radiative_Transfer_Lab.xlsx" TargetMode="External"/><Relationship Id="rId3" Type="http://schemas.openxmlformats.org/officeDocument/2006/relationships/hyperlink" Target="../../../../../../home/user/Radiative-transfer-/Radiative_Transfer_Lab.xlsx" TargetMode="External"/><Relationship Id="rId4" Type="http://schemas.openxmlformats.org/officeDocument/2006/relationships/hyperlink" Target="../../../../../../home/user/Radiative-transfer-/Radiative_Transfer_Lab.xlsx" TargetMode="External"/><Relationship Id="rId5" Type="http://schemas.openxmlformats.org/officeDocument/2006/relationships/hyperlink" Target="../../../../../../home/user/Radiative-transfer-/Radiative_Transfer_Lab.xlsx" TargetMode="External"/><Relationship Id="rId6" Type="http://schemas.openxmlformats.org/officeDocument/2006/relationships/hyperlink" Target="../../../../../../home/user/Radiative-transfer-/Radiative_Transfer_Lab.xlsx" TargetMode="External"/><Relationship Id="rId7" Type="http://schemas.openxmlformats.org/officeDocument/2006/relationships/hyperlink" Target="../../../../../../home/user/Radiative-transfer-/Radiative_Transfer_Lab.xlsx" TargetMode="External"/><Relationship Id="rId8" Type="http://schemas.openxmlformats.org/officeDocument/2006/relationships/hyperlink" Target="../../../../../../home/user/Radiative-transfer-/Radiative_Transfer_Lab.xlsx" TargetMode="External"/><Relationship Id="rId9" Type="http://schemas.openxmlformats.org/officeDocument/2006/relationships/hyperlink" Target="../../../../../../home/user/Radiative-transfer-/Radiative_Transfer_Lab.xlsx" TargetMode="External"/><Relationship Id="rId10" Type="http://schemas.openxmlformats.org/officeDocument/2006/relationships/hyperlink" Target="../../../../../../home/user/Radiative-transfer-/Radiative_Transfer_Lab.xlsx" TargetMode="External"/><Relationship Id="rId11" Type="http://schemas.openxmlformats.org/officeDocument/2006/relationships/hyperlink" Target="../../../../../../home/user/Radiative-transfer-/Radiative_Transfer_Lab.xlsx" TargetMode="External"/><Relationship Id="rId12" Type="http://schemas.openxmlformats.org/officeDocument/2006/relationships/hyperlink" Target="../../../../../../home/user/Radiative-transfer-/Radiative_Transfer_Lab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5" t="s">
        <v>5</v>
      </c>
      <c r="B6" s="2" t="s">
        <v>6</v>
      </c>
    </row>
    <row r="7" customFormat="false" ht="15" hidden="false" customHeight="false" outlineLevel="0" collapsed="false">
      <c r="A7" s="3" t="s">
        <v>7</v>
      </c>
      <c r="B7" s="2" t="s">
        <v>8</v>
      </c>
    </row>
    <row r="8" customFormat="false" ht="15" hidden="false" customHeight="false" outlineLevel="0" collapsed="false">
      <c r="A8" s="3" t="s">
        <v>9</v>
      </c>
      <c r="B8" s="2" t="s">
        <v>10</v>
      </c>
    </row>
    <row r="9" customFormat="false" ht="15" hidden="false" customHeight="false" outlineLevel="0" collapsed="false">
      <c r="A9" s="3" t="s">
        <v>11</v>
      </c>
      <c r="B9" s="2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6" t="s">
        <v>14</v>
      </c>
      <c r="B12" s="2" t="s">
        <v>15</v>
      </c>
    </row>
    <row r="13" customFormat="false" ht="15" hidden="false" customHeight="false" outlineLevel="0" collapsed="false">
      <c r="A13" s="6" t="s">
        <v>16</v>
      </c>
      <c r="B13" s="2" t="s">
        <v>17</v>
      </c>
    </row>
    <row r="14" customFormat="false" ht="15" hidden="false" customHeight="false" outlineLevel="0" collapsed="false">
      <c r="A14" s="6" t="s">
        <v>18</v>
      </c>
      <c r="B14" s="2" t="s">
        <v>19</v>
      </c>
    </row>
    <row r="15" customFormat="false" ht="15" hidden="false" customHeight="false" outlineLevel="0" collapsed="false">
      <c r="A15" s="6" t="s">
        <v>20</v>
      </c>
      <c r="B15" s="2" t="s">
        <v>21</v>
      </c>
    </row>
    <row r="16" customFormat="false" ht="15" hidden="false" customHeight="false" outlineLevel="0" collapsed="false">
      <c r="A16" s="6" t="s">
        <v>22</v>
      </c>
      <c r="B16" s="2" t="s">
        <v>23</v>
      </c>
    </row>
    <row r="17" customFormat="false" ht="15" hidden="false" customHeight="false" outlineLevel="0" collapsed="false">
      <c r="A17" s="6" t="s">
        <v>24</v>
      </c>
      <c r="B17" s="2" t="s">
        <v>25</v>
      </c>
    </row>
    <row r="18" customFormat="false" ht="15" hidden="false" customHeight="false" outlineLevel="0" collapsed="false">
      <c r="A18" s="6" t="s">
        <v>26</v>
      </c>
      <c r="B18" s="2" t="s">
        <v>27</v>
      </c>
    </row>
    <row r="19" customFormat="false" ht="15" hidden="false" customHeight="false" outlineLevel="0" collapsed="false">
      <c r="A19" s="6" t="s">
        <v>28</v>
      </c>
      <c r="B19" s="2" t="s">
        <v>29</v>
      </c>
    </row>
    <row r="20" customFormat="false" ht="15" hidden="false" customHeight="false" outlineLevel="0" collapsed="false">
      <c r="A20" s="6" t="s">
        <v>30</v>
      </c>
      <c r="B20" s="2" t="s">
        <v>31</v>
      </c>
    </row>
    <row r="21" customFormat="false" ht="15" hidden="false" customHeight="false" outlineLevel="0" collapsed="false">
      <c r="A21" s="6" t="s">
        <v>32</v>
      </c>
      <c r="B21" s="2" t="s">
        <v>33</v>
      </c>
    </row>
    <row r="22" customFormat="false" ht="15" hidden="false" customHeight="false" outlineLevel="0" collapsed="false">
      <c r="A22" s="6" t="s">
        <v>34</v>
      </c>
      <c r="B22" s="2" t="s">
        <v>35</v>
      </c>
    </row>
    <row r="23" customFormat="false" ht="15" hidden="false" customHeight="false" outlineLevel="0" collapsed="false">
      <c r="A23" s="6" t="s">
        <v>36</v>
      </c>
      <c r="B23" s="2" t="s">
        <v>37</v>
      </c>
    </row>
    <row r="25" customFormat="false" ht="15" hidden="false" customHeight="false" outlineLevel="0" collapsed="false">
      <c r="A25" s="7" t="s">
        <v>38</v>
      </c>
    </row>
  </sheetData>
  <hyperlinks>
    <hyperlink ref="A12" r:id="rId1" location="'RT1%20Optical%20depth'!A1" display="RT1 Optical depth"/>
    <hyperlink ref="A13" r:id="rId2" location="'RT1%20Intensity'!A1" display="RT1 Intensity"/>
    <hyperlink ref="A14" r:id="rId3" location="'RT2%20Planck'!A1" display="RT2 Planck"/>
    <hyperlink ref="A15" r:id="rId4" location="'RT2%20Random%20walk'!A1" display="RT2 Random walk"/>
    <hyperlink ref="A16" r:id="rId5" location="'RT3%20Slab%20&amp;%20MIT%20star'!A1" display="RT3 Slab &amp; MIT star"/>
    <hyperlink ref="A17" r:id="rId6" location="'SA1%20Saha-Boltzmann'!A1" display="SA1 Saha-Boltzmann"/>
    <hyperlink ref="A18" r:id="rId7" location="'RT4%20Eddington-Barbier'!A1" display="RT4 Eddington-Barbier"/>
    <hyperlink ref="A19" r:id="rId8" location="'RT4%20Scattering'!A1" display="RT4 Scattering"/>
    <hyperlink ref="A20" r:id="rId9" location="'SA4%20Gray%20atmosphere'!A1" display="SA4 Gray atmosphere"/>
    <hyperlink ref="A21" r:id="rId10" location="'SA4%20Lines'!A1" display="SA4 Lines"/>
    <hyperlink ref="A22" r:id="rId11" location="'Constants'!A1" display="Constants"/>
    <hyperlink ref="A23" r:id="rId12" location="'Data'!A1" display="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9" t="s">
        <v>41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43</v>
      </c>
      <c r="B6" s="11" t="n">
        <v>0.5</v>
      </c>
      <c r="C6" s="7" t="s">
        <v>44</v>
      </c>
    </row>
    <row r="7" customFormat="false" ht="15" hidden="false" customHeight="false" outlineLevel="0" collapsed="false">
      <c r="A7" s="2" t="s">
        <v>45</v>
      </c>
      <c r="B7" s="11" t="n">
        <v>4</v>
      </c>
      <c r="C7" s="7" t="s">
        <v>46</v>
      </c>
    </row>
    <row r="9" customFormat="false" ht="15" hidden="false" customHeight="false" outlineLevel="0" collapsed="false">
      <c r="A9" s="10" t="s">
        <v>47</v>
      </c>
    </row>
    <row r="10" customFormat="false" ht="15" hidden="false" customHeight="false" outlineLevel="0" collapsed="false">
      <c r="A10" s="2" t="s">
        <v>48</v>
      </c>
      <c r="B10" s="12" t="n">
        <f aca="false">$B$6*$B$7</f>
        <v>2</v>
      </c>
      <c r="C10" s="7"/>
    </row>
    <row r="11" customFormat="false" ht="15" hidden="false" customHeight="false" outlineLevel="0" collapsed="false">
      <c r="A11" s="2" t="s">
        <v>49</v>
      </c>
      <c r="B11" s="13" t="n">
        <f aca="false">EXP(-$B$10)</f>
        <v>0.135335283236613</v>
      </c>
      <c r="C11" s="7"/>
    </row>
    <row r="12" customFormat="false" ht="15" hidden="false" customHeight="false" outlineLevel="0" collapsed="false">
      <c r="A12" s="2" t="s">
        <v>50</v>
      </c>
      <c r="B12" s="12" t="n">
        <f aca="false">1.0857*$B$10</f>
        <v>2.1714</v>
      </c>
      <c r="C12" s="7" t="s">
        <v>51</v>
      </c>
    </row>
    <row r="13" customFormat="false" ht="15" hidden="false" customHeight="false" outlineLevel="0" collapsed="false">
      <c r="A13" s="2" t="s">
        <v>52</v>
      </c>
      <c r="B13" s="12" t="n">
        <f aca="false">1/$B$6</f>
        <v>2</v>
      </c>
      <c r="C13" s="7" t="s">
        <v>46</v>
      </c>
    </row>
    <row r="14" customFormat="false" ht="15" hidden="false" customHeight="false" outlineLevel="0" collapsed="false">
      <c r="A14" s="2" t="s">
        <v>53</v>
      </c>
      <c r="B14" s="14" t="str">
        <f aca="false">IF($B$10&lt;0.3,"optically thin",IF($B$10&lt;3,"intermediate (tau ~ 1)","optically thick"))</f>
        <v>intermediate (tau ~ 1)</v>
      </c>
      <c r="C14" s="7"/>
    </row>
    <row r="16" customFormat="false" ht="15" hidden="false" customHeight="false" outlineLevel="0" collapsed="false">
      <c r="E16" s="15" t="s">
        <v>54</v>
      </c>
      <c r="F16" s="15" t="s">
        <v>55</v>
      </c>
    </row>
    <row r="17" customFormat="false" ht="15" hidden="false" customHeight="false" outlineLevel="0" collapsed="false">
      <c r="E17" s="16" t="n">
        <f aca="false">$B$7*1.5*0/40</f>
        <v>0</v>
      </c>
      <c r="F17" s="17" t="n">
        <f aca="false">EXP(-$B$6*E17)</f>
        <v>1</v>
      </c>
    </row>
    <row r="18" customFormat="false" ht="15" hidden="false" customHeight="false" outlineLevel="0" collapsed="false">
      <c r="E18" s="16" t="n">
        <f aca="false">$B$7*1.5*1/40</f>
        <v>0.15</v>
      </c>
      <c r="F18" s="17" t="n">
        <f aca="false">EXP(-$B$6*E18)</f>
        <v>0.927743486328553</v>
      </c>
    </row>
    <row r="19" customFormat="false" ht="15" hidden="false" customHeight="false" outlineLevel="0" collapsed="false">
      <c r="E19" s="16" t="n">
        <f aca="false">$B$7*1.5*2/40</f>
        <v>0.3</v>
      </c>
      <c r="F19" s="17" t="n">
        <f aca="false">EXP(-$B$6*E19)</f>
        <v>0.860707976425058</v>
      </c>
    </row>
    <row r="20" customFormat="false" ht="15" hidden="false" customHeight="false" outlineLevel="0" collapsed="false">
      <c r="E20" s="16" t="n">
        <f aca="false">$B$7*1.5*3/40</f>
        <v>0.45</v>
      </c>
      <c r="F20" s="17" t="n">
        <f aca="false">EXP(-$B$6*E20)</f>
        <v>0.798516218759377</v>
      </c>
    </row>
    <row r="21" customFormat="false" ht="15" hidden="false" customHeight="false" outlineLevel="0" collapsed="false">
      <c r="E21" s="16" t="n">
        <f aca="false">$B$7*1.5*4/40</f>
        <v>0.6</v>
      </c>
      <c r="F21" s="17" t="n">
        <f aca="false">EXP(-$B$6*E21)</f>
        <v>0.740818220681718</v>
      </c>
    </row>
    <row r="22" customFormat="false" ht="15" hidden="false" customHeight="false" outlineLevel="0" collapsed="false">
      <c r="E22" s="16" t="n">
        <f aca="false">$B$7*1.5*5/40</f>
        <v>0.75</v>
      </c>
      <c r="F22" s="17" t="n">
        <f aca="false">EXP(-$B$6*E22)</f>
        <v>0.687289278790972</v>
      </c>
    </row>
    <row r="23" customFormat="false" ht="15" hidden="false" customHeight="false" outlineLevel="0" collapsed="false">
      <c r="E23" s="16" t="n">
        <f aca="false">$B$7*1.5*6/40</f>
        <v>0.9</v>
      </c>
      <c r="F23" s="17" t="n">
        <f aca="false">EXP(-$B$6*E23)</f>
        <v>0.637628151621773</v>
      </c>
    </row>
    <row r="24" customFormat="false" ht="15" hidden="false" customHeight="false" outlineLevel="0" collapsed="false">
      <c r="E24" s="16" t="n">
        <f aca="false">$B$7*1.5*7/40</f>
        <v>1.05</v>
      </c>
      <c r="F24" s="17" t="n">
        <f aca="false">EXP(-$B$6*E24)</f>
        <v>0.591555364366815</v>
      </c>
    </row>
    <row r="25" customFormat="false" ht="15" hidden="false" customHeight="false" outlineLevel="0" collapsed="false">
      <c r="E25" s="16" t="n">
        <f aca="false">$B$7*1.5*8/40</f>
        <v>1.2</v>
      </c>
      <c r="F25" s="17" t="n">
        <f aca="false">EXP(-$B$6*E25)</f>
        <v>0.548811636094026</v>
      </c>
    </row>
    <row r="26" customFormat="false" ht="15" hidden="false" customHeight="false" outlineLevel="0" collapsed="false">
      <c r="E26" s="16" t="n">
        <f aca="false">$B$7*1.5*9/40</f>
        <v>1.35</v>
      </c>
      <c r="F26" s="17" t="n">
        <f aca="false">EXP(-$B$6*E26)</f>
        <v>0.509156420607549</v>
      </c>
    </row>
    <row r="27" customFormat="false" ht="15" hidden="false" customHeight="false" outlineLevel="0" collapsed="false">
      <c r="E27" s="16" t="n">
        <f aca="false">$B$7*1.5*10/40</f>
        <v>1.5</v>
      </c>
      <c r="F27" s="17" t="n">
        <f aca="false">EXP(-$B$6*E27)</f>
        <v>0.472366552741015</v>
      </c>
    </row>
    <row r="28" customFormat="false" ht="15" hidden="false" customHeight="false" outlineLevel="0" collapsed="false">
      <c r="E28" s="16" t="n">
        <f aca="false">$B$7*1.5*11/40</f>
        <v>1.65</v>
      </c>
      <c r="F28" s="17" t="n">
        <f aca="false">EXP(-$B$6*E28)</f>
        <v>0.438234992464949</v>
      </c>
    </row>
    <row r="29" customFormat="false" ht="15" hidden="false" customHeight="false" outlineLevel="0" collapsed="false">
      <c r="E29" s="16" t="n">
        <f aca="false">$B$7*1.5*12/40</f>
        <v>1.8</v>
      </c>
      <c r="F29" s="17" t="n">
        <f aca="false">EXP(-$B$6*E29)</f>
        <v>0.406569659740599</v>
      </c>
    </row>
    <row r="30" customFormat="false" ht="15" hidden="false" customHeight="false" outlineLevel="0" collapsed="false">
      <c r="E30" s="16" t="n">
        <f aca="false">$B$7*1.5*13/40</f>
        <v>1.95</v>
      </c>
      <c r="F30" s="17" t="n">
        <f aca="false">EXP(-$B$6*E30)</f>
        <v>0.377192353563157</v>
      </c>
    </row>
    <row r="31" customFormat="false" ht="15" hidden="false" customHeight="false" outlineLevel="0" collapsed="false">
      <c r="E31" s="16" t="n">
        <f aca="false">$B$7*1.5*14/40</f>
        <v>2.1</v>
      </c>
      <c r="F31" s="17" t="n">
        <f aca="false">EXP(-$B$6*E31)</f>
        <v>0.349937749111155</v>
      </c>
    </row>
    <row r="32" customFormat="false" ht="15" hidden="false" customHeight="false" outlineLevel="0" collapsed="false">
      <c r="E32" s="16" t="n">
        <f aca="false">$B$7*1.5*15/40</f>
        <v>2.25</v>
      </c>
      <c r="F32" s="17" t="n">
        <f aca="false">EXP(-$B$6*E32)</f>
        <v>0.32465246735835</v>
      </c>
    </row>
    <row r="33" customFormat="false" ht="15" hidden="false" customHeight="false" outlineLevel="0" collapsed="false">
      <c r="E33" s="16" t="n">
        <f aca="false">$B$7*1.5*16/40</f>
        <v>2.4</v>
      </c>
      <c r="F33" s="17" t="n">
        <f aca="false">EXP(-$B$6*E33)</f>
        <v>0.301194211912202</v>
      </c>
    </row>
    <row r="34" customFormat="false" ht="15" hidden="false" customHeight="false" outlineLevel="0" collapsed="false">
      <c r="E34" s="16" t="n">
        <f aca="false">$B$7*1.5*17/40</f>
        <v>2.55</v>
      </c>
      <c r="F34" s="17" t="n">
        <f aca="false">EXP(-$B$6*E34)</f>
        <v>0.279430968221407</v>
      </c>
    </row>
    <row r="35" customFormat="false" ht="15" hidden="false" customHeight="false" outlineLevel="0" collapsed="false">
      <c r="E35" s="16" t="n">
        <f aca="false">$B$7*1.5*18/40</f>
        <v>2.7</v>
      </c>
      <c r="F35" s="17" t="n">
        <f aca="false">EXP(-$B$6*E35)</f>
        <v>0.259240260645892</v>
      </c>
    </row>
    <row r="36" customFormat="false" ht="15" hidden="false" customHeight="false" outlineLevel="0" collapsed="false">
      <c r="E36" s="16" t="n">
        <f aca="false">$B$7*1.5*19/40</f>
        <v>2.85</v>
      </c>
      <c r="F36" s="17" t="n">
        <f aca="false">EXP(-$B$6*E36)</f>
        <v>0.240508463208342</v>
      </c>
    </row>
    <row r="37" customFormat="false" ht="15" hidden="false" customHeight="false" outlineLevel="0" collapsed="false">
      <c r="E37" s="16" t="n">
        <f aca="false">$B$7*1.5*20/40</f>
        <v>3</v>
      </c>
      <c r="F37" s="17" t="n">
        <f aca="false">EXP(-$B$6*E37)</f>
        <v>0.22313016014843</v>
      </c>
    </row>
    <row r="38" customFormat="false" ht="15" hidden="false" customHeight="false" outlineLevel="0" collapsed="false">
      <c r="E38" s="16" t="n">
        <f aca="false">$B$7*1.5*21/40</f>
        <v>3.15</v>
      </c>
      <c r="F38" s="17" t="n">
        <f aca="false">EXP(-$B$6*E38)</f>
        <v>0.207007552681153</v>
      </c>
    </row>
    <row r="39" customFormat="false" ht="15" hidden="false" customHeight="false" outlineLevel="0" collapsed="false">
      <c r="E39" s="16" t="n">
        <f aca="false">$B$7*1.5*22/40</f>
        <v>3.3</v>
      </c>
      <c r="F39" s="17" t="n">
        <f aca="false">EXP(-$B$6*E39)</f>
        <v>0.192049908620754</v>
      </c>
    </row>
    <row r="40" customFormat="false" ht="15" hidden="false" customHeight="false" outlineLevel="0" collapsed="false">
      <c r="E40" s="16" t="n">
        <f aca="false">$B$7*1.5*23/40</f>
        <v>3.45</v>
      </c>
      <c r="F40" s="17" t="n">
        <f aca="false">EXP(-$B$6*E40)</f>
        <v>0.178173051772898</v>
      </c>
    </row>
    <row r="41" customFormat="false" ht="15" hidden="false" customHeight="false" outlineLevel="0" collapsed="false">
      <c r="E41" s="16" t="n">
        <f aca="false">$B$7*1.5*24/40</f>
        <v>3.6</v>
      </c>
      <c r="F41" s="17" t="n">
        <f aca="false">EXP(-$B$6*E41)</f>
        <v>0.165298888221587</v>
      </c>
    </row>
    <row r="42" customFormat="false" ht="15" hidden="false" customHeight="false" outlineLevel="0" collapsed="false">
      <c r="E42" s="16" t="n">
        <f aca="false">$B$7*1.5*25/40</f>
        <v>3.75</v>
      </c>
      <c r="F42" s="17" t="n">
        <f aca="false">EXP(-$B$6*E42)</f>
        <v>0.153354966844928</v>
      </c>
    </row>
    <row r="43" customFormat="false" ht="15" hidden="false" customHeight="false" outlineLevel="0" collapsed="false">
      <c r="E43" s="16" t="n">
        <f aca="false">$B$7*1.5*26/40</f>
        <v>3.9</v>
      </c>
      <c r="F43" s="17" t="n">
        <f aca="false">EXP(-$B$6*E43)</f>
        <v>0.142274071586514</v>
      </c>
    </row>
    <row r="44" customFormat="false" ht="15" hidden="false" customHeight="false" outlineLevel="0" collapsed="false">
      <c r="E44" s="16" t="n">
        <f aca="false">$B$7*1.5*27/40</f>
        <v>4.05</v>
      </c>
      <c r="F44" s="17" t="n">
        <f aca="false">EXP(-$B$6*E44)</f>
        <v>0.13199384318783</v>
      </c>
    </row>
    <row r="45" customFormat="false" ht="15" hidden="false" customHeight="false" outlineLevel="0" collapsed="false">
      <c r="E45" s="16" t="n">
        <f aca="false">$B$7*1.5*28/40</f>
        <v>4.2</v>
      </c>
      <c r="F45" s="17" t="n">
        <f aca="false">EXP(-$B$6*E45)</f>
        <v>0.122456428252982</v>
      </c>
    </row>
    <row r="46" customFormat="false" ht="15" hidden="false" customHeight="false" outlineLevel="0" collapsed="false">
      <c r="E46" s="16" t="n">
        <f aca="false">$B$7*1.5*29/40</f>
        <v>4.35</v>
      </c>
      <c r="F46" s="17" t="n">
        <f aca="false">EXP(-$B$6*E46)</f>
        <v>0.113608153670764</v>
      </c>
    </row>
    <row r="47" customFormat="false" ht="15" hidden="false" customHeight="false" outlineLevel="0" collapsed="false">
      <c r="E47" s="16" t="n">
        <f aca="false">$B$7*1.5*30/40</f>
        <v>4.5</v>
      </c>
      <c r="F47" s="17" t="n">
        <f aca="false">EXP(-$B$6*E47)</f>
        <v>0.105399224561864</v>
      </c>
    </row>
    <row r="48" customFormat="false" ht="15" hidden="false" customHeight="false" outlineLevel="0" collapsed="false">
      <c r="E48" s="16" t="n">
        <f aca="false">$B$7*1.5*31/40</f>
        <v>4.65</v>
      </c>
      <c r="F48" s="17" t="n">
        <f aca="false">EXP(-$B$6*E48)</f>
        <v>0.0977834440513501</v>
      </c>
    </row>
    <row r="49" customFormat="false" ht="15" hidden="false" customHeight="false" outlineLevel="0" collapsed="false">
      <c r="E49" s="16" t="n">
        <f aca="false">$B$7*1.5*32/40</f>
        <v>4.8</v>
      </c>
      <c r="F49" s="17" t="n">
        <f aca="false">EXP(-$B$6*E49)</f>
        <v>0.0907179532894125</v>
      </c>
    </row>
    <row r="50" customFormat="false" ht="15" hidden="false" customHeight="false" outlineLevel="0" collapsed="false">
      <c r="E50" s="16" t="n">
        <f aca="false">$B$7*1.5*33/40</f>
        <v>4.95</v>
      </c>
      <c r="F50" s="17" t="n">
        <f aca="false">EXP(-$B$6*E50)</f>
        <v>0.0841629902573104</v>
      </c>
    </row>
    <row r="51" customFormat="false" ht="15" hidden="false" customHeight="false" outlineLevel="0" collapsed="false">
      <c r="E51" s="16" t="n">
        <f aca="false">$B$7*1.5*34/40</f>
        <v>5.1</v>
      </c>
      <c r="F51" s="17" t="n">
        <f aca="false">EXP(-$B$6*E51)</f>
        <v>0.0780816660011532</v>
      </c>
    </row>
    <row r="52" customFormat="false" ht="15" hidden="false" customHeight="false" outlineLevel="0" collapsed="false">
      <c r="E52" s="16" t="n">
        <f aca="false">$B$7*1.5*35/40</f>
        <v>5.25</v>
      </c>
      <c r="F52" s="17" t="n">
        <f aca="false">EXP(-$B$6*E52)</f>
        <v>0.0724397570342515</v>
      </c>
    </row>
    <row r="53" customFormat="false" ht="15" hidden="false" customHeight="false" outlineLevel="0" collapsed="false">
      <c r="E53" s="16" t="n">
        <f aca="false">$B$7*1.5*36/40</f>
        <v>5.4</v>
      </c>
      <c r="F53" s="17" t="n">
        <f aca="false">EXP(-$B$6*E53)</f>
        <v>0.0672055127397498</v>
      </c>
    </row>
    <row r="54" customFormat="false" ht="15" hidden="false" customHeight="false" outlineLevel="0" collapsed="false">
      <c r="E54" s="16" t="n">
        <f aca="false">$B$7*1.5*37/40</f>
        <v>5.55</v>
      </c>
      <c r="F54" s="17" t="n">
        <f aca="false">EXP(-$B$6*E54)</f>
        <v>0.0623494766896734</v>
      </c>
    </row>
    <row r="55" customFormat="false" ht="15" hidden="false" customHeight="false" outlineLevel="0" collapsed="false">
      <c r="E55" s="16" t="n">
        <f aca="false">$B$7*1.5*38/40</f>
        <v>5.7</v>
      </c>
      <c r="F55" s="17" t="n">
        <f aca="false">EXP(-$B$6*E55)</f>
        <v>0.0578443208748385</v>
      </c>
    </row>
    <row r="56" customFormat="false" ht="15" hidden="false" customHeight="false" outlineLevel="0" collapsed="false">
      <c r="E56" s="16" t="n">
        <f aca="false">$B$7*1.5*39/40</f>
        <v>5.85</v>
      </c>
      <c r="F56" s="17" t="n">
        <f aca="false">EXP(-$B$6*E56)</f>
        <v>0.0536646919127301</v>
      </c>
    </row>
    <row r="57" customFormat="false" ht="15" hidden="false" customHeight="false" outlineLevel="0" collapsed="false">
      <c r="E57" s="16" t="n">
        <f aca="false">$B$7*1.5*40/40</f>
        <v>6</v>
      </c>
      <c r="F57" s="17" t="n">
        <f aca="false">EXP(-$B$6*E57)</f>
        <v>0.0497870683678639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9" t="s">
        <v>58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59</v>
      </c>
      <c r="B6" s="11" t="n">
        <v>5772</v>
      </c>
      <c r="C6" s="7" t="s">
        <v>60</v>
      </c>
    </row>
    <row r="7" customFormat="false" ht="15" hidden="false" customHeight="false" outlineLevel="0" collapsed="false">
      <c r="A7" s="2" t="s">
        <v>61</v>
      </c>
      <c r="B7" s="11" t="n">
        <v>1</v>
      </c>
      <c r="C7" s="7" t="s">
        <v>62</v>
      </c>
    </row>
    <row r="8" customFormat="false" ht="15" hidden="false" customHeight="false" outlineLevel="0" collapsed="false">
      <c r="A8" s="2" t="s">
        <v>63</v>
      </c>
      <c r="B8" s="11" t="n">
        <v>1</v>
      </c>
      <c r="C8" s="7" t="s">
        <v>64</v>
      </c>
    </row>
    <row r="10" customFormat="false" ht="15" hidden="false" customHeight="false" outlineLevel="0" collapsed="false">
      <c r="A10" s="10" t="s">
        <v>47</v>
      </c>
    </row>
    <row r="11" customFormat="false" ht="15" hidden="false" customHeight="false" outlineLevel="0" collapsed="false">
      <c r="A11" s="2" t="s">
        <v>65</v>
      </c>
      <c r="B11" s="18" t="n">
        <f aca="false">sigSB*$B$6^4</f>
        <v>62938587.8175783</v>
      </c>
      <c r="C11" s="7" t="s">
        <v>66</v>
      </c>
    </row>
    <row r="12" customFormat="false" ht="15" hidden="false" customHeight="false" outlineLevel="0" collapsed="false">
      <c r="A12" s="2" t="s">
        <v>67</v>
      </c>
      <c r="B12" s="18" t="n">
        <f aca="false">($B$7*Rsun/($B$8*AU))^2</f>
        <v>2.16268457452809E-005</v>
      </c>
      <c r="C12" s="7"/>
    </row>
    <row r="13" customFormat="false" ht="15" hidden="false" customHeight="false" outlineLevel="0" collapsed="false">
      <c r="A13" s="2" t="s">
        <v>68</v>
      </c>
      <c r="B13" s="18" t="n">
        <f aca="false">$B$11*$B$12</f>
        <v>1361.16313015658</v>
      </c>
      <c r="C13" s="7" t="s">
        <v>66</v>
      </c>
    </row>
    <row r="14" customFormat="false" ht="15" hidden="false" customHeight="false" outlineLevel="0" collapsed="false">
      <c r="A14" s="2" t="s">
        <v>69</v>
      </c>
      <c r="B14" s="18" t="n">
        <f aca="false">PI()*$B$12</f>
        <v>6.79427397136941E-005</v>
      </c>
      <c r="C14" s="7" t="s">
        <v>70</v>
      </c>
    </row>
    <row r="15" customFormat="false" ht="15" hidden="false" customHeight="false" outlineLevel="0" collapsed="false">
      <c r="A15" s="2" t="s">
        <v>71</v>
      </c>
      <c r="B15" s="18" t="n">
        <f aca="false">B13/B14</f>
        <v>20033974.7247819</v>
      </c>
      <c r="C15" s="7" t="s">
        <v>72</v>
      </c>
    </row>
    <row r="16" customFormat="false" ht="15" hidden="false" customHeight="false" outlineLevel="0" collapsed="false">
      <c r="A16" s="2" t="s">
        <v>73</v>
      </c>
      <c r="B16" s="18" t="n">
        <f aca="false">$B$11/PI()</f>
        <v>20033974.7247819</v>
      </c>
      <c r="C16" s="7" t="s">
        <v>72</v>
      </c>
    </row>
    <row r="17" customFormat="false" ht="15" hidden="false" customHeight="false" outlineLevel="0" collapsed="false">
      <c r="A17" s="2" t="s">
        <v>74</v>
      </c>
      <c r="B17" s="12" t="n">
        <f aca="false">2*ASIN(SQRT($B$12))*206264.806</f>
        <v>1918.46236987409</v>
      </c>
      <c r="C17" s="7" t="s">
        <v>75</v>
      </c>
    </row>
    <row r="18" customFormat="false" ht="15" hidden="false" customHeight="false" outlineLevel="0" collapsed="false">
      <c r="A18" s="2" t="s">
        <v>76</v>
      </c>
      <c r="B18" s="12" t="n">
        <f aca="false">4*PI()*($B$7*Rsun)^2*$B$11/Lsun</f>
        <v>0.999997549710428</v>
      </c>
      <c r="C18" s="7" t="s">
        <v>77</v>
      </c>
    </row>
    <row r="20" customFormat="false" ht="15" hidden="false" customHeight="false" outlineLevel="0" collapsed="false">
      <c r="E20" s="15" t="s">
        <v>78</v>
      </c>
      <c r="F20" s="15" t="s">
        <v>79</v>
      </c>
      <c r="G20" s="15" t="s">
        <v>80</v>
      </c>
      <c r="H20" s="15" t="s">
        <v>81</v>
      </c>
    </row>
    <row r="21" customFormat="false" ht="15" hidden="false" customHeight="false" outlineLevel="0" collapsed="false">
      <c r="E21" s="19" t="n">
        <v>0.01</v>
      </c>
      <c r="F21" s="19" t="n">
        <f aca="false">($B$7*Rsun/(E21*AU))^2</f>
        <v>0.216268457452809</v>
      </c>
      <c r="G21" s="19" t="n">
        <f aca="false">F21</f>
        <v>0.216268457452809</v>
      </c>
      <c r="H21" s="20" t="n">
        <f aca="false">1</f>
        <v>1</v>
      </c>
    </row>
    <row r="22" customFormat="false" ht="15" hidden="false" customHeight="false" outlineLevel="0" collapsed="false">
      <c r="E22" s="19" t="n">
        <v>0.0177827941003892</v>
      </c>
      <c r="F22" s="19" t="n">
        <f aca="false">($B$7*Rsun/(E22*AU))^2</f>
        <v>0.0683900911602092</v>
      </c>
      <c r="G22" s="19" t="n">
        <f aca="false">F22</f>
        <v>0.0683900911602092</v>
      </c>
      <c r="H22" s="20" t="n">
        <f aca="false">1</f>
        <v>1</v>
      </c>
    </row>
    <row r="23" customFormat="false" ht="15" hidden="false" customHeight="false" outlineLevel="0" collapsed="false">
      <c r="E23" s="19" t="n">
        <v>0.0316227766016838</v>
      </c>
      <c r="F23" s="19" t="n">
        <f aca="false">($B$7*Rsun/(E23*AU))^2</f>
        <v>0.0216268457452809</v>
      </c>
      <c r="G23" s="19" t="n">
        <f aca="false">F23</f>
        <v>0.0216268457452809</v>
      </c>
      <c r="H23" s="20" t="n">
        <f aca="false">1</f>
        <v>1</v>
      </c>
    </row>
    <row r="24" customFormat="false" ht="15" hidden="false" customHeight="false" outlineLevel="0" collapsed="false">
      <c r="E24" s="19" t="n">
        <v>0.0562341325190349</v>
      </c>
      <c r="F24" s="19" t="n">
        <f aca="false">($B$7*Rsun/(E24*AU))^2</f>
        <v>0.00683900911602093</v>
      </c>
      <c r="G24" s="19" t="n">
        <f aca="false">F24</f>
        <v>0.00683900911602093</v>
      </c>
      <c r="H24" s="20" t="n">
        <f aca="false">1</f>
        <v>1</v>
      </c>
    </row>
    <row r="25" customFormat="false" ht="15" hidden="false" customHeight="false" outlineLevel="0" collapsed="false">
      <c r="E25" s="19" t="n">
        <v>0.1</v>
      </c>
      <c r="F25" s="19" t="n">
        <f aca="false">($B$7*Rsun/(E25*AU))^2</f>
        <v>0.00216268457452809</v>
      </c>
      <c r="G25" s="19" t="n">
        <f aca="false">F25</f>
        <v>0.00216268457452809</v>
      </c>
      <c r="H25" s="20" t="n">
        <f aca="false">1</f>
        <v>1</v>
      </c>
    </row>
    <row r="26" customFormat="false" ht="15" hidden="false" customHeight="false" outlineLevel="0" collapsed="false">
      <c r="E26" s="19" t="n">
        <v>0.177827941003892</v>
      </c>
      <c r="F26" s="19" t="n">
        <f aca="false">($B$7*Rsun/(E26*AU))^2</f>
        <v>0.000683900911602093</v>
      </c>
      <c r="G26" s="19" t="n">
        <f aca="false">F26</f>
        <v>0.000683900911602093</v>
      </c>
      <c r="H26" s="20" t="n">
        <f aca="false">1</f>
        <v>1</v>
      </c>
    </row>
    <row r="27" customFormat="false" ht="15" hidden="false" customHeight="false" outlineLevel="0" collapsed="false">
      <c r="E27" s="19" t="n">
        <v>0.316227766016838</v>
      </c>
      <c r="F27" s="19" t="n">
        <f aca="false">($B$7*Rsun/(E27*AU))^2</f>
        <v>0.000216268457452809</v>
      </c>
      <c r="G27" s="19" t="n">
        <f aca="false">F27</f>
        <v>0.000216268457452809</v>
      </c>
      <c r="H27" s="20" t="n">
        <f aca="false">1</f>
        <v>1</v>
      </c>
    </row>
    <row r="28" customFormat="false" ht="15" hidden="false" customHeight="false" outlineLevel="0" collapsed="false">
      <c r="E28" s="19" t="n">
        <v>0.562341325190349</v>
      </c>
      <c r="F28" s="19" t="n">
        <f aca="false">($B$7*Rsun/(E28*AU))^2</f>
        <v>6.83900911602093E-005</v>
      </c>
      <c r="G28" s="19" t="n">
        <f aca="false">F28</f>
        <v>6.83900911602093E-005</v>
      </c>
      <c r="H28" s="20" t="n">
        <f aca="false">1</f>
        <v>1</v>
      </c>
    </row>
    <row r="29" customFormat="false" ht="15" hidden="false" customHeight="false" outlineLevel="0" collapsed="false">
      <c r="E29" s="19" t="n">
        <v>1</v>
      </c>
      <c r="F29" s="19" t="n">
        <f aca="false">($B$7*Rsun/(E29*AU))^2</f>
        <v>2.16268457452809E-005</v>
      </c>
      <c r="G29" s="19" t="n">
        <f aca="false">F29</f>
        <v>2.16268457452809E-005</v>
      </c>
      <c r="H29" s="20" t="n">
        <f aca="false">1</f>
        <v>1</v>
      </c>
    </row>
    <row r="30" customFormat="false" ht="15" hidden="false" customHeight="false" outlineLevel="0" collapsed="false">
      <c r="E30" s="19" t="n">
        <v>1.77827941003892</v>
      </c>
      <c r="F30" s="19" t="n">
        <f aca="false">($B$7*Rsun/(E30*AU))^2</f>
        <v>6.83900911602093E-006</v>
      </c>
      <c r="G30" s="19" t="n">
        <f aca="false">F30</f>
        <v>6.83900911602093E-006</v>
      </c>
      <c r="H30" s="20" t="n">
        <f aca="false">1</f>
        <v>1</v>
      </c>
    </row>
    <row r="31" customFormat="false" ht="15" hidden="false" customHeight="false" outlineLevel="0" collapsed="false">
      <c r="E31" s="19" t="n">
        <v>3.16227766016838</v>
      </c>
      <c r="F31" s="19" t="n">
        <f aca="false">($B$7*Rsun/(E31*AU))^2</f>
        <v>2.16268457452809E-006</v>
      </c>
      <c r="G31" s="19" t="n">
        <f aca="false">F31</f>
        <v>2.16268457452809E-006</v>
      </c>
      <c r="H31" s="20" t="n">
        <f aca="false">1</f>
        <v>1</v>
      </c>
    </row>
    <row r="32" customFormat="false" ht="15" hidden="false" customHeight="false" outlineLevel="0" collapsed="false">
      <c r="E32" s="19" t="n">
        <v>5.62341325190349</v>
      </c>
      <c r="F32" s="19" t="n">
        <f aca="false">($B$7*Rsun/(E32*AU))^2</f>
        <v>6.83900911602093E-007</v>
      </c>
      <c r="G32" s="19" t="n">
        <f aca="false">F32</f>
        <v>6.83900911602093E-007</v>
      </c>
      <c r="H32" s="20" t="n">
        <f aca="false">1</f>
        <v>1</v>
      </c>
    </row>
    <row r="33" customFormat="false" ht="15" hidden="false" customHeight="false" outlineLevel="0" collapsed="false">
      <c r="E33" s="19" t="n">
        <v>10</v>
      </c>
      <c r="F33" s="19" t="n">
        <f aca="false">($B$7*Rsun/(E33*AU))^2</f>
        <v>2.16268457452809E-007</v>
      </c>
      <c r="G33" s="19" t="n">
        <f aca="false">F33</f>
        <v>2.16268457452809E-007</v>
      </c>
      <c r="H33" s="20" t="n">
        <f aca="false">1</f>
        <v>1</v>
      </c>
    </row>
    <row r="34" customFormat="false" ht="15" hidden="false" customHeight="false" outlineLevel="0" collapsed="false">
      <c r="E34" s="19" t="n">
        <v>17.7827941003892</v>
      </c>
      <c r="F34" s="19" t="n">
        <f aca="false">($B$7*Rsun/(E34*AU))^2</f>
        <v>6.83900911602093E-008</v>
      </c>
      <c r="G34" s="19" t="n">
        <f aca="false">F34</f>
        <v>6.83900911602093E-008</v>
      </c>
      <c r="H34" s="20" t="n">
        <f aca="false">1</f>
        <v>1</v>
      </c>
    </row>
    <row r="35" customFormat="false" ht="15" hidden="false" customHeight="false" outlineLevel="0" collapsed="false">
      <c r="E35" s="19" t="n">
        <v>31.6227766016838</v>
      </c>
      <c r="F35" s="19" t="n">
        <f aca="false">($B$7*Rsun/(E35*AU))^2</f>
        <v>2.16268457452809E-008</v>
      </c>
      <c r="G35" s="19" t="n">
        <f aca="false">F35</f>
        <v>2.16268457452809E-008</v>
      </c>
      <c r="H35" s="20" t="n">
        <f aca="false">1</f>
        <v>1</v>
      </c>
    </row>
    <row r="36" customFormat="false" ht="15" hidden="false" customHeight="false" outlineLevel="0" collapsed="false">
      <c r="E36" s="19" t="n">
        <v>56.2341325190349</v>
      </c>
      <c r="F36" s="19" t="n">
        <f aca="false">($B$7*Rsun/(E36*AU))^2</f>
        <v>6.83900911602093E-009</v>
      </c>
      <c r="G36" s="19" t="n">
        <f aca="false">F36</f>
        <v>6.83900911602093E-009</v>
      </c>
      <c r="H36" s="20" t="n">
        <f aca="false">1</f>
        <v>1</v>
      </c>
    </row>
    <row r="37" customFormat="false" ht="15" hidden="false" customHeight="false" outlineLevel="0" collapsed="false">
      <c r="E37" s="19" t="n">
        <v>100</v>
      </c>
      <c r="F37" s="19" t="n">
        <f aca="false">($B$7*Rsun/(E37*AU))^2</f>
        <v>2.16268457452809E-009</v>
      </c>
      <c r="G37" s="19" t="n">
        <f aca="false">F37</f>
        <v>2.16268457452809E-009</v>
      </c>
      <c r="H37" s="20" t="n">
        <f aca="false">1</f>
        <v>1</v>
      </c>
    </row>
    <row r="38" customFormat="false" ht="15" hidden="false" customHeight="false" outlineLevel="0" collapsed="false">
      <c r="E38" s="19" t="n">
        <v>177.827941003892</v>
      </c>
      <c r="F38" s="19" t="n">
        <f aca="false">($B$7*Rsun/(E38*AU))^2</f>
        <v>6.83900911602093E-010</v>
      </c>
      <c r="G38" s="19" t="n">
        <f aca="false">F38</f>
        <v>6.83900911602093E-010</v>
      </c>
      <c r="H38" s="20" t="n">
        <f aca="false">1</f>
        <v>1</v>
      </c>
    </row>
    <row r="39" customFormat="false" ht="15" hidden="false" customHeight="false" outlineLevel="0" collapsed="false">
      <c r="E39" s="19" t="n">
        <v>316.227766016838</v>
      </c>
      <c r="F39" s="19" t="n">
        <f aca="false">($B$7*Rsun/(E39*AU))^2</f>
        <v>2.16268457452809E-010</v>
      </c>
      <c r="G39" s="19" t="n">
        <f aca="false">F39</f>
        <v>2.16268457452809E-010</v>
      </c>
      <c r="H39" s="20" t="n">
        <f aca="false">1</f>
        <v>1</v>
      </c>
    </row>
    <row r="40" customFormat="false" ht="15" hidden="false" customHeight="false" outlineLevel="0" collapsed="false">
      <c r="E40" s="19" t="n">
        <v>562.341325190349</v>
      </c>
      <c r="F40" s="19" t="n">
        <f aca="false">($B$7*Rsun/(E40*AU))^2</f>
        <v>6.83900911602093E-011</v>
      </c>
      <c r="G40" s="19" t="n">
        <f aca="false">F40</f>
        <v>6.83900911602093E-011</v>
      </c>
      <c r="H40" s="20" t="n">
        <f aca="false">1</f>
        <v>1</v>
      </c>
    </row>
    <row r="41" customFormat="false" ht="15" hidden="false" customHeight="false" outlineLevel="0" collapsed="false">
      <c r="E41" s="19" t="n">
        <v>1000</v>
      </c>
      <c r="F41" s="19" t="n">
        <f aca="false">($B$7*Rsun/(E41*AU))^2</f>
        <v>2.16268457452809E-011</v>
      </c>
      <c r="G41" s="19" t="n">
        <f aca="false">F41</f>
        <v>2.16268457452809E-011</v>
      </c>
      <c r="H41" s="20" t="n">
        <f aca="false">1</f>
        <v>1</v>
      </c>
    </row>
    <row r="42" customFormat="false" ht="15" hidden="false" customHeight="false" outlineLevel="0" collapsed="false">
      <c r="E42" s="19" t="n">
        <v>1778.27941003892</v>
      </c>
      <c r="F42" s="19" t="n">
        <f aca="false">($B$7*Rsun/(E42*AU))^2</f>
        <v>6.83900911602092E-012</v>
      </c>
      <c r="G42" s="19" t="n">
        <f aca="false">F42</f>
        <v>6.83900911602092E-012</v>
      </c>
      <c r="H42" s="20" t="n">
        <f aca="false">1</f>
        <v>1</v>
      </c>
    </row>
    <row r="43" customFormat="false" ht="15" hidden="false" customHeight="false" outlineLevel="0" collapsed="false">
      <c r="E43" s="19" t="n">
        <v>3162.27766016838</v>
      </c>
      <c r="F43" s="19" t="n">
        <f aca="false">($B$7*Rsun/(E43*AU))^2</f>
        <v>2.16268457452809E-012</v>
      </c>
      <c r="G43" s="19" t="n">
        <f aca="false">F43</f>
        <v>2.16268457452809E-012</v>
      </c>
      <c r="H43" s="20" t="n">
        <f aca="false">1</f>
        <v>1</v>
      </c>
    </row>
    <row r="44" customFormat="false" ht="15" hidden="false" customHeight="false" outlineLevel="0" collapsed="false">
      <c r="E44" s="19" t="n">
        <v>5623.41325190349</v>
      </c>
      <c r="F44" s="19" t="n">
        <f aca="false">($B$7*Rsun/(E44*AU))^2</f>
        <v>6.83900911602093E-013</v>
      </c>
      <c r="G44" s="19" t="n">
        <f aca="false">F44</f>
        <v>6.83900911602093E-013</v>
      </c>
      <c r="H44" s="20" t="n">
        <f aca="false">1</f>
        <v>1</v>
      </c>
    </row>
    <row r="45" customFormat="false" ht="15" hidden="false" customHeight="false" outlineLevel="0" collapsed="false">
      <c r="E45" s="19" t="n">
        <v>10000</v>
      </c>
      <c r="F45" s="19" t="n">
        <f aca="false">($B$7*Rsun/(E45*AU))^2</f>
        <v>2.16268457452809E-013</v>
      </c>
      <c r="G45" s="19" t="n">
        <f aca="false">F45</f>
        <v>2.16268457452809E-013</v>
      </c>
      <c r="H45" s="20" t="n">
        <f aca="false">1</f>
        <v>1</v>
      </c>
    </row>
    <row r="46" customFormat="false" ht="15" hidden="false" customHeight="false" outlineLevel="0" collapsed="false">
      <c r="E46" s="19" t="n">
        <v>17782.7941003892</v>
      </c>
      <c r="F46" s="19" t="n">
        <f aca="false">($B$7*Rsun/(E46*AU))^2</f>
        <v>6.83900911602093E-014</v>
      </c>
      <c r="G46" s="19" t="n">
        <f aca="false">F46</f>
        <v>6.83900911602093E-014</v>
      </c>
      <c r="H46" s="20" t="n">
        <f aca="false">1</f>
        <v>1</v>
      </c>
    </row>
    <row r="47" customFormat="false" ht="15" hidden="false" customHeight="false" outlineLevel="0" collapsed="false">
      <c r="E47" s="19" t="n">
        <v>31622.7766016838</v>
      </c>
      <c r="F47" s="19" t="n">
        <f aca="false">($B$7*Rsun/(E47*AU))^2</f>
        <v>2.16268457452809E-014</v>
      </c>
      <c r="G47" s="19" t="n">
        <f aca="false">F47</f>
        <v>2.16268457452809E-014</v>
      </c>
      <c r="H47" s="20" t="n">
        <f aca="false">1</f>
        <v>1</v>
      </c>
    </row>
    <row r="48" customFormat="false" ht="15" hidden="false" customHeight="false" outlineLevel="0" collapsed="false">
      <c r="E48" s="19" t="n">
        <v>56234.1325190349</v>
      </c>
      <c r="F48" s="19" t="n">
        <f aca="false">($B$7*Rsun/(E48*AU))^2</f>
        <v>6.83900911602093E-015</v>
      </c>
      <c r="G48" s="19" t="n">
        <f aca="false">F48</f>
        <v>6.83900911602093E-015</v>
      </c>
      <c r="H48" s="20" t="n">
        <f aca="false">1</f>
        <v>1</v>
      </c>
    </row>
    <row r="49" customFormat="false" ht="15" hidden="false" customHeight="false" outlineLevel="0" collapsed="false">
      <c r="E49" s="19" t="n">
        <v>100000</v>
      </c>
      <c r="F49" s="19" t="n">
        <f aca="false">($B$7*Rsun/(E49*AU))^2</f>
        <v>2.16268457452809E-015</v>
      </c>
      <c r="G49" s="19" t="n">
        <f aca="false">F49</f>
        <v>2.16268457452809E-015</v>
      </c>
      <c r="H49" s="20" t="n">
        <f aca="false">1</f>
        <v>1</v>
      </c>
    </row>
    <row r="50" customFormat="false" ht="15" hidden="false" customHeight="false" outlineLevel="0" collapsed="false">
      <c r="E50" s="19" t="n">
        <v>177827.941003892</v>
      </c>
      <c r="F50" s="19" t="n">
        <f aca="false">($B$7*Rsun/(E50*AU))^2</f>
        <v>6.83900911602093E-016</v>
      </c>
      <c r="G50" s="19" t="n">
        <f aca="false">F50</f>
        <v>6.83900911602093E-016</v>
      </c>
      <c r="H50" s="20" t="n">
        <f aca="false">1</f>
        <v>1</v>
      </c>
    </row>
    <row r="51" customFormat="false" ht="15" hidden="false" customHeight="false" outlineLevel="0" collapsed="false">
      <c r="E51" s="19" t="n">
        <v>316227.766016838</v>
      </c>
      <c r="F51" s="19" t="n">
        <f aca="false">($B$7*Rsun/(E51*AU))^2</f>
        <v>2.16268457452809E-016</v>
      </c>
      <c r="G51" s="19" t="n">
        <f aca="false">F51</f>
        <v>2.16268457452809E-016</v>
      </c>
      <c r="H51" s="20" t="n">
        <f aca="false">1</f>
        <v>1</v>
      </c>
    </row>
    <row r="52" customFormat="false" ht="15" hidden="false" customHeight="false" outlineLevel="0" collapsed="false">
      <c r="E52" s="19" t="n">
        <v>562341.325190349</v>
      </c>
      <c r="F52" s="19" t="n">
        <f aca="false">($B$7*Rsun/(E52*AU))^2</f>
        <v>6.83900911602093E-017</v>
      </c>
      <c r="G52" s="19" t="n">
        <f aca="false">F52</f>
        <v>6.83900911602093E-017</v>
      </c>
      <c r="H52" s="20" t="n">
        <f aca="false">1</f>
        <v>1</v>
      </c>
    </row>
    <row r="53" customFormat="false" ht="15" hidden="false" customHeight="false" outlineLevel="0" collapsed="false">
      <c r="E53" s="19" t="n">
        <v>1000000</v>
      </c>
      <c r="F53" s="19" t="n">
        <f aca="false">($B$7*Rsun/(E53*AU))^2</f>
        <v>2.16268457452809E-017</v>
      </c>
      <c r="G53" s="19" t="n">
        <f aca="false">F53</f>
        <v>2.16268457452809E-017</v>
      </c>
      <c r="H53" s="20" t="n">
        <f aca="false">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A3" s="9" t="s">
        <v>84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85</v>
      </c>
      <c r="B6" s="11" t="n">
        <v>5772</v>
      </c>
      <c r="C6" s="7" t="s">
        <v>60</v>
      </c>
    </row>
    <row r="7" customFormat="false" ht="15" hidden="false" customHeight="false" outlineLevel="0" collapsed="false">
      <c r="A7" s="2" t="s">
        <v>86</v>
      </c>
      <c r="B7" s="11" t="n">
        <v>5772</v>
      </c>
      <c r="C7" s="7" t="s">
        <v>60</v>
      </c>
    </row>
    <row r="9" customFormat="false" ht="15" hidden="false" customHeight="false" outlineLevel="0" collapsed="false">
      <c r="A9" s="10" t="s">
        <v>47</v>
      </c>
    </row>
    <row r="10" customFormat="false" ht="15" hidden="false" customHeight="false" outlineLevel="0" collapsed="false">
      <c r="A10" s="2" t="s">
        <v>87</v>
      </c>
      <c r="B10" s="21" t="n">
        <f aca="false">0.002897771955/$B$6*1000000000</f>
        <v>502.039493243243</v>
      </c>
      <c r="C10" s="7" t="s">
        <v>88</v>
      </c>
    </row>
    <row r="11" customFormat="false" ht="15" hidden="false" customHeight="false" outlineLevel="0" collapsed="false">
      <c r="A11" s="2" t="s">
        <v>89</v>
      </c>
      <c r="B11" s="18" t="n">
        <f aca="false">58790000000*$B$6</f>
        <v>339335880000000</v>
      </c>
      <c r="C11" s="7" t="s">
        <v>90</v>
      </c>
    </row>
    <row r="12" customFormat="false" ht="15" hidden="false" customHeight="false" outlineLevel="0" collapsed="false">
      <c r="A12" s="2" t="s">
        <v>65</v>
      </c>
      <c r="B12" s="18" t="n">
        <f aca="false">sigSB*$B$6^4</f>
        <v>62938587.8175783</v>
      </c>
      <c r="C12" s="7" t="s">
        <v>66</v>
      </c>
    </row>
    <row r="13" customFormat="false" ht="15" hidden="false" customHeight="false" outlineLevel="0" collapsed="false">
      <c r="A13" s="2" t="s">
        <v>91</v>
      </c>
      <c r="B13" s="12" t="n">
        <f aca="false">($B$6/5772)^4</f>
        <v>1</v>
      </c>
      <c r="C13" s="7"/>
    </row>
    <row r="14" customFormat="false" ht="15" hidden="false" customHeight="false" outlineLevel="0" collapsed="false">
      <c r="A14" s="2" t="s">
        <v>92</v>
      </c>
      <c r="B14" s="18" t="n">
        <f aca="false">2*hP*cL^2/(0.0000005)^5/(EXP(hP*cL/(0.0000005*kB*$B$6))-1)</f>
        <v>26238540568595.9</v>
      </c>
      <c r="C14" s="7" t="s">
        <v>93</v>
      </c>
    </row>
    <row r="15" customFormat="false" ht="15" hidden="false" customHeight="false" outlineLevel="0" collapsed="false">
      <c r="A15" s="2" t="s">
        <v>94</v>
      </c>
      <c r="B15" s="12" t="n">
        <f aca="false">hP*cL/(0.0000005*kB*$B$6)</f>
        <v>4.985366865918</v>
      </c>
      <c r="C15" s="7"/>
    </row>
    <row r="17" customFormat="false" ht="15" hidden="false" customHeight="false" outlineLevel="0" collapsed="false">
      <c r="E17" s="15" t="s">
        <v>95</v>
      </c>
      <c r="F17" s="15" t="s">
        <v>96</v>
      </c>
      <c r="G17" s="15" t="s">
        <v>97</v>
      </c>
      <c r="H17" s="15" t="s">
        <v>98</v>
      </c>
      <c r="I17" s="15" t="s">
        <v>99</v>
      </c>
    </row>
    <row r="18" customFormat="false" ht="15" hidden="false" customHeight="false" outlineLevel="0" collapsed="false">
      <c r="E18" s="22" t="n">
        <v>100</v>
      </c>
      <c r="F18" s="23" t="n">
        <f aca="false">2*hP*cL^2/(E18*0.000000001)^5/(EXP(hP*cL/(E18*0.000000001*kB*$B$6))-1)</f>
        <v>177967553.506997</v>
      </c>
      <c r="G18" s="23" t="n">
        <f aca="false">2*hP*cL^2/(E18*0.000000001)^5/(EXP(hP*cL/(E18*0.000000001*kB*$B$7))-1)</f>
        <v>177967553.506997</v>
      </c>
      <c r="H18" s="23" t="n">
        <f aca="false">2*cL*kB*$B$6/(E18*0.000000001)^4</f>
        <v>4.77815576839347E+017</v>
      </c>
      <c r="I18" s="23" t="n">
        <f aca="false">2*hP*cL^2/(E18*0.000000001)^5*EXP(-hP*cL/(E18*0.000000001*kB*$B$6))</f>
        <v>177967553.504338</v>
      </c>
    </row>
    <row r="19" customFormat="false" ht="15" hidden="false" customHeight="false" outlineLevel="0" collapsed="false">
      <c r="E19" s="22" t="n">
        <v>106.86</v>
      </c>
      <c r="F19" s="23" t="n">
        <f aca="false">2*hP*cL^2/(E19*0.000000001)^5/(EXP(hP*cL/(E19*0.000000001*kB*$B$6))-1)</f>
        <v>632740892.380811</v>
      </c>
      <c r="G19" s="23" t="n">
        <f aca="false">2*hP*cL^2/(E19*0.000000001)^5/(EXP(hP*cL/(E19*0.000000001*kB*$B$7))-1)</f>
        <v>632740892.380811</v>
      </c>
      <c r="H19" s="23" t="n">
        <f aca="false">2*cL*kB*$B$6/(E19*0.000000001)^4</f>
        <v>3.66437257653124E+017</v>
      </c>
      <c r="I19" s="23" t="n">
        <f aca="false">2*hP*cL^2/(E19*0.000000001)^5*EXP(-hP*cL/(E19*0.000000001*kB*$B$6))</f>
        <v>632740892.333973</v>
      </c>
    </row>
    <row r="20" customFormat="false" ht="15" hidden="false" customHeight="false" outlineLevel="0" collapsed="false">
      <c r="E20" s="22" t="n">
        <v>114.18</v>
      </c>
      <c r="F20" s="23" t="n">
        <f aca="false">2*hP*cL^2/(E20*0.000000001)^5/(EXP(hP*cL/(E20*0.000000001*kB*$B$6))-1)</f>
        <v>2026837312.40669</v>
      </c>
      <c r="G20" s="23" t="n">
        <f aca="false">2*hP*cL^2/(E20*0.000000001)^5/(EXP(hP*cL/(E20*0.000000001*kB*$B$7))-1)</f>
        <v>2026837312.40669</v>
      </c>
      <c r="H20" s="23" t="n">
        <f aca="false">2*cL*kB*$B$6/(E20*0.000000001)^4</f>
        <v>2.81125440539921E+017</v>
      </c>
      <c r="I20" s="23" t="n">
        <f aca="false">2*hP*cL^2/(E20*0.000000001)^5*EXP(-hP*cL/(E20*0.000000001*kB*$B$6))</f>
        <v>2026837311.73733</v>
      </c>
    </row>
    <row r="21" customFormat="false" ht="15" hidden="false" customHeight="false" outlineLevel="0" collapsed="false">
      <c r="E21" s="22" t="n">
        <v>122.01</v>
      </c>
      <c r="F21" s="23" t="n">
        <f aca="false">2*hP*cL^2/(E21*0.000000001)^5/(EXP(hP*cL/(E21*0.000000001*kB*$B$6))-1)</f>
        <v>5905353865.46676</v>
      </c>
      <c r="G21" s="23" t="n">
        <f aca="false">2*hP*cL^2/(E21*0.000000001)^5/(EXP(hP*cL/(E21*0.000000001*kB*$B$7))-1)</f>
        <v>5905353865.46676</v>
      </c>
      <c r="H21" s="23" t="n">
        <f aca="false">2*cL*kB*$B$6/(E21*0.000000001)^4</f>
        <v>2.15614813543943E+017</v>
      </c>
      <c r="I21" s="23" t="n">
        <f aca="false">2*hP*cL^2/(E21*0.000000001)^5*EXP(-hP*cL/(E21*0.000000001*kB*$B$6))</f>
        <v>5905353857.55011</v>
      </c>
    </row>
    <row r="22" customFormat="false" ht="15" hidden="false" customHeight="false" outlineLevel="0" collapsed="false">
      <c r="E22" s="22" t="n">
        <v>130.37</v>
      </c>
      <c r="F22" s="23" t="n">
        <f aca="false">2*hP*cL^2/(E22*0.000000001)^5/(EXP(hP*cL/(E22*0.000000001*kB*$B$6))-1)</f>
        <v>15714425938.2177</v>
      </c>
      <c r="G22" s="23" t="n">
        <f aca="false">2*hP*cL^2/(E22*0.000000001)^5/(EXP(hP*cL/(E22*0.000000001*kB*$B$7))-1)</f>
        <v>15714425938.2177</v>
      </c>
      <c r="H22" s="23" t="n">
        <f aca="false">2*cL*kB*$B$6/(E22*0.000000001)^4</f>
        <v>1.65405383889876E+017</v>
      </c>
      <c r="I22" s="23" t="n">
        <f aca="false">2*hP*cL^2/(E22*0.000000001)^5*EXP(-hP*cL/(E22*0.000000001*kB*$B$6))</f>
        <v>15714425860.1344</v>
      </c>
    </row>
    <row r="23" customFormat="false" ht="15" hidden="false" customHeight="false" outlineLevel="0" collapsed="false">
      <c r="E23" s="22" t="n">
        <v>139.31</v>
      </c>
      <c r="F23" s="23" t="n">
        <f aca="false">2*hP*cL^2/(E23*0.000000001)^5/(EXP(hP*cL/(E23*0.000000001*kB*$B$6))-1)</f>
        <v>38472895739.4583</v>
      </c>
      <c r="G23" s="23" t="n">
        <f aca="false">2*hP*cL^2/(E23*0.000000001)^5/(EXP(hP*cL/(E23*0.000000001*kB*$B$7))-1)</f>
        <v>38472895739.4583</v>
      </c>
      <c r="H23" s="23" t="n">
        <f aca="false">2*cL*kB*$B$6/(E23*0.000000001)^4</f>
        <v>1.2686187759328E+017</v>
      </c>
      <c r="I23" s="23" t="n">
        <f aca="false">2*hP*cL^2/(E23*0.000000001)^5*EXP(-hP*cL/(E23*0.000000001*kB*$B$6))</f>
        <v>38472895087.3889</v>
      </c>
    </row>
    <row r="24" customFormat="false" ht="15" hidden="false" customHeight="false" outlineLevel="0" collapsed="false">
      <c r="E24" s="22" t="n">
        <v>148.86</v>
      </c>
      <c r="F24" s="23" t="n">
        <f aca="false">2*hP*cL^2/(E24*0.000000001)^5/(EXP(hP*cL/(E24*0.000000001*kB*$B$6))-1)</f>
        <v>87038211564.5757</v>
      </c>
      <c r="G24" s="23" t="n">
        <f aca="false">2*hP*cL^2/(E24*0.000000001)^5/(EXP(hP*cL/(E24*0.000000001*kB*$B$7))-1)</f>
        <v>87038211564.5757</v>
      </c>
      <c r="H24" s="23" t="n">
        <f aca="false">2*cL*kB*$B$6/(E24*0.000000001)^4</f>
        <v>97307932468841800</v>
      </c>
      <c r="I24" s="23" t="n">
        <f aca="false">2*hP*cL^2/(E24*0.000000001)^5*EXP(-hP*cL/(E24*0.000000001*kB*$B$6))</f>
        <v>87038206915.3296</v>
      </c>
    </row>
    <row r="25" customFormat="false" ht="15" hidden="false" customHeight="false" outlineLevel="0" collapsed="false">
      <c r="E25" s="22" t="n">
        <v>159.06</v>
      </c>
      <c r="F25" s="23" t="n">
        <f aca="false">2*hP*cL^2/(E25*0.000000001)^5/(EXP(hP*cL/(E25*0.000000001*kB*$B$6))-1)</f>
        <v>182871433600.426</v>
      </c>
      <c r="G25" s="23" t="n">
        <f aca="false">2*hP*cL^2/(E25*0.000000001)^5/(EXP(hP*cL/(E25*0.000000001*kB*$B$7))-1)</f>
        <v>182871433600.426</v>
      </c>
      <c r="H25" s="23" t="n">
        <f aca="false">2*cL*kB*$B$6/(E25*0.000000001)^4</f>
        <v>74647693155224000</v>
      </c>
      <c r="I25" s="23" t="n">
        <f aca="false">2*hP*cL^2/(E25*0.000000001)^5*EXP(-hP*cL/(E25*0.000000001*kB*$B$6))</f>
        <v>182871405013.39</v>
      </c>
    </row>
    <row r="26" customFormat="false" ht="15" hidden="false" customHeight="false" outlineLevel="0" collapsed="false">
      <c r="E26" s="22" t="n">
        <v>169.97</v>
      </c>
      <c r="F26" s="23" t="n">
        <f aca="false">2*hP*cL^2/(E26*0.000000001)^5/(EXP(hP*cL/(E26*0.000000001*kB*$B$6))-1)</f>
        <v>358880750819.911</v>
      </c>
      <c r="G26" s="23" t="n">
        <f aca="false">2*hP*cL^2/(E26*0.000000001)^5/(EXP(hP*cL/(E26*0.000000001*kB*$B$7))-1)</f>
        <v>358880750819.911</v>
      </c>
      <c r="H26" s="23" t="n">
        <f aca="false">2*cL*kB*$B$6/(E26*0.000000001)^4</f>
        <v>57249435145200800</v>
      </c>
      <c r="I26" s="23" t="n">
        <f aca="false">2*hP*cL^2/(E26*0.000000001)^5*EXP(-hP*cL/(E26*0.000000001*kB*$B$6))</f>
        <v>358880597416.829</v>
      </c>
    </row>
    <row r="27" customFormat="false" ht="15" hidden="false" customHeight="false" outlineLevel="0" collapsed="false">
      <c r="E27" s="22" t="n">
        <v>181.62</v>
      </c>
      <c r="F27" s="23" t="n">
        <f aca="false">2*hP*cL^2/(E27*0.000000001)^5/(EXP(hP*cL/(E27*0.000000001*kB*$B$6))-1)</f>
        <v>659993864972.329</v>
      </c>
      <c r="G27" s="23" t="n">
        <f aca="false">2*hP*cL^2/(E27*0.000000001)^5/(EXP(hP*cL/(E27*0.000000001*kB*$B$7))-1)</f>
        <v>659993864972.329</v>
      </c>
      <c r="H27" s="23" t="n">
        <f aca="false">2*cL*kB*$B$6/(E27*0.000000001)^4</f>
        <v>43914265003761400</v>
      </c>
      <c r="I27" s="23" t="n">
        <f aca="false">2*hP*cL^2/(E27*0.000000001)^5*EXP(-hP*cL/(E27*0.000000001*kB*$B$6))</f>
        <v>659993142252.039</v>
      </c>
    </row>
    <row r="28" customFormat="false" ht="15" hidden="false" customHeight="false" outlineLevel="0" collapsed="false">
      <c r="E28" s="22" t="n">
        <v>194.07</v>
      </c>
      <c r="F28" s="23" t="n">
        <f aca="false">2*hP*cL^2/(E28*0.000000001)^5/(EXP(hP*cL/(E28*0.000000001*kB*$B$6))-1)</f>
        <v>1142746810395.47</v>
      </c>
      <c r="G28" s="23" t="n">
        <f aca="false">2*hP*cL^2/(E28*0.000000001)^5/(EXP(hP*cL/(E28*0.000000001*kB*$B$7))-1)</f>
        <v>1142746810395.47</v>
      </c>
      <c r="H28" s="23" t="n">
        <f aca="false">2*cL*kB*$B$6/(E28*0.000000001)^4</f>
        <v>33684234354536400</v>
      </c>
      <c r="I28" s="23" t="n">
        <f aca="false">2*hP*cL^2/(E28*0.000000001)^5*EXP(-hP*cL/(E28*0.000000001*kB*$B$6))</f>
        <v>1142743792087.94</v>
      </c>
    </row>
    <row r="29" customFormat="false" ht="15" hidden="false" customHeight="false" outlineLevel="0" collapsed="false">
      <c r="E29" s="22" t="n">
        <v>207.38</v>
      </c>
      <c r="F29" s="23" t="n">
        <f aca="false">2*hP*cL^2/(E29*0.000000001)^5/(EXP(hP*cL/(E29*0.000000001*kB*$B$6))-1)</f>
        <v>1870366150747.54</v>
      </c>
      <c r="G29" s="23" t="n">
        <f aca="false">2*hP*cL^2/(E29*0.000000001)^5/(EXP(hP*cL/(E29*0.000000001*kB*$B$7))-1)</f>
        <v>1870366150747.54</v>
      </c>
      <c r="H29" s="23" t="n">
        <f aca="false">2*cL*kB*$B$6/(E29*0.000000001)^4</f>
        <v>25834069471671700</v>
      </c>
      <c r="I29" s="23" t="n">
        <f aca="false">2*hP*cL^2/(E29*0.000000001)^5*EXP(-hP*cL/(E29*0.000000001*kB*$B$6))</f>
        <v>1870354885063.36</v>
      </c>
    </row>
    <row r="30" customFormat="false" ht="15" hidden="false" customHeight="false" outlineLevel="0" collapsed="false">
      <c r="E30" s="22" t="n">
        <v>221.59</v>
      </c>
      <c r="F30" s="23" t="n">
        <f aca="false">2*hP*cL^2/(E30*0.000000001)^5/(EXP(hP*cL/(E30*0.000000001*kB*$B$6))-1)</f>
        <v>2902480612923.33</v>
      </c>
      <c r="G30" s="23" t="n">
        <f aca="false">2*hP*cL^2/(E30*0.000000001)^5/(EXP(hP*cL/(E30*0.000000001*kB*$B$7))-1)</f>
        <v>2902480612923.33</v>
      </c>
      <c r="H30" s="23" t="n">
        <f aca="false">2*cL*kB*$B$6/(E30*0.000000001)^4</f>
        <v>19817993139845500</v>
      </c>
      <c r="I30" s="23" t="n">
        <f aca="false">2*hP*cL^2/(E30*0.000000001)^5*EXP(-hP*cL/(E30*0.000000001*kB*$B$6))</f>
        <v>2902442824710.09</v>
      </c>
    </row>
    <row r="31" customFormat="false" ht="15" hidden="false" customHeight="false" outlineLevel="0" collapsed="false">
      <c r="E31" s="22" t="n">
        <v>236.78</v>
      </c>
      <c r="F31" s="23" t="n">
        <f aca="false">2*hP*cL^2/(E31*0.000000001)^5/(EXP(hP*cL/(E31*0.000000001*kB*$B$6))-1)</f>
        <v>4287576416644.72</v>
      </c>
      <c r="G31" s="23" t="n">
        <f aca="false">2*hP*cL^2/(E31*0.000000001)^5/(EXP(hP*cL/(E31*0.000000001*kB*$B$7))-1)</f>
        <v>4287576416644.72</v>
      </c>
      <c r="H31" s="23" t="n">
        <f aca="false">2*cL*kB*$B$6/(E31*0.000000001)^4</f>
        <v>15201282807925100</v>
      </c>
      <c r="I31" s="23" t="n">
        <f aca="false">2*hP*cL^2/(E31*0.000000001)^5*EXP(-hP*cL/(E31*0.000000001*kB*$B$6))</f>
        <v>4287461545814.07</v>
      </c>
    </row>
    <row r="32" customFormat="false" ht="15" hidden="false" customHeight="false" outlineLevel="0" collapsed="false">
      <c r="E32" s="22" t="n">
        <v>253.01</v>
      </c>
      <c r="F32" s="23" t="n">
        <f aca="false">2*hP*cL^2/(E32*0.000000001)^5/(EXP(hP*cL/(E32*0.000000001*kB*$B$6))-1)</f>
        <v>6047042107209.56</v>
      </c>
      <c r="G32" s="23" t="n">
        <f aca="false">2*hP*cL^2/(E32*0.000000001)^5/(EXP(hP*cL/(E32*0.000000001*kB*$B$7))-1)</f>
        <v>6047042107209.56</v>
      </c>
      <c r="H32" s="23" t="n">
        <f aca="false">2*cL*kB*$B$6/(E32*0.000000001)^4</f>
        <v>11660295514884900</v>
      </c>
      <c r="I32" s="23" t="n">
        <f aca="false">2*hP*cL^2/(E32*0.000000001)^5*EXP(-hP*cL/(E32*0.000000001*kB*$B$6))</f>
        <v>6046723816378.92</v>
      </c>
    </row>
    <row r="33" customFormat="false" ht="15" hidden="false" customHeight="false" outlineLevel="0" collapsed="false">
      <c r="E33" s="22" t="n">
        <v>270.36</v>
      </c>
      <c r="F33" s="23" t="n">
        <f aca="false">2*hP*cL^2/(E33*0.000000001)^5/(EXP(hP*cL/(E33*0.000000001*kB*$B$6))-1)</f>
        <v>8168091485074.7</v>
      </c>
      <c r="G33" s="23" t="n">
        <f aca="false">2*hP*cL^2/(E33*0.000000001)^5/(EXP(hP*cL/(E33*0.000000001*kB*$B$7))-1)</f>
        <v>8168091485074.7</v>
      </c>
      <c r="H33" s="23" t="n">
        <f aca="false">2*cL*kB*$B$6/(E33*0.000000001)^4</f>
        <v>8943150773013225</v>
      </c>
      <c r="I33" s="23" t="n">
        <f aca="false">2*hP*cL^2/(E33*0.000000001)^5*EXP(-hP*cL/(E33*0.000000001*kB*$B$6))</f>
        <v>8167282420986.2</v>
      </c>
    </row>
    <row r="34" customFormat="false" ht="15" hidden="false" customHeight="false" outlineLevel="0" collapsed="false">
      <c r="E34" s="22" t="n">
        <v>288.89</v>
      </c>
      <c r="F34" s="23" t="n">
        <f aca="false">2*hP*cL^2/(E34*0.000000001)^5/(EXP(hP*cL/(E34*0.000000001*kB*$B$6))-1)</f>
        <v>10593478221122.8</v>
      </c>
      <c r="G34" s="23" t="n">
        <f aca="false">2*hP*cL^2/(E34*0.000000001)^5/(EXP(hP*cL/(E34*0.000000001*kB*$B$7))-1)</f>
        <v>10593478221122.8</v>
      </c>
      <c r="H34" s="23" t="n">
        <f aca="false">2*cL*kB*$B$6/(E34*0.000000001)^4</f>
        <v>6860097182647404</v>
      </c>
      <c r="I34" s="23" t="n">
        <f aca="false">2*hP*cL^2/(E34*0.000000001)^5*EXP(-hP*cL/(E34*0.000000001*kB*$B$6))</f>
        <v>10591582674145.1</v>
      </c>
    </row>
    <row r="35" customFormat="false" ht="15" hidden="false" customHeight="false" outlineLevel="0" collapsed="false">
      <c r="E35" s="22" t="n">
        <v>308.7</v>
      </c>
      <c r="F35" s="23" t="n">
        <f aca="false">2*hP*cL^2/(E35*0.000000001)^5/(EXP(hP*cL/(E35*0.000000001*kB*$B$6))-1)</f>
        <v>13229661215939</v>
      </c>
      <c r="G35" s="23" t="n">
        <f aca="false">2*hP*cL^2/(E35*0.000000001)^5/(EXP(hP*cL/(E35*0.000000001*kB*$B$7))-1)</f>
        <v>13229661215939</v>
      </c>
      <c r="H35" s="23" t="n">
        <f aca="false">2*cL*kB*$B$6/(E35*0.000000001)^4</f>
        <v>5261551017078057</v>
      </c>
      <c r="I35" s="23" t="n">
        <f aca="false">2*hP*cL^2/(E35*0.000000001)^5*EXP(-hP*cL/(E35*0.000000001*kB*$B$6))</f>
        <v>13225542916236.3</v>
      </c>
    </row>
    <row r="36" customFormat="false" ht="15" hidden="false" customHeight="false" outlineLevel="0" collapsed="false">
      <c r="E36" s="22" t="n">
        <v>329.86</v>
      </c>
      <c r="F36" s="23" t="n">
        <f aca="false">2*hP*cL^2/(E36*0.000000001)^5/(EXP(hP*cL/(E36*0.000000001*kB*$B$6))-1)</f>
        <v>15945313388664.1</v>
      </c>
      <c r="G36" s="23" t="n">
        <f aca="false">2*hP*cL^2/(E36*0.000000001)^5/(EXP(hP*cL/(E36*0.000000001*kB*$B$7))-1)</f>
        <v>15945313388664.1</v>
      </c>
      <c r="H36" s="23" t="n">
        <f aca="false">2*cL*kB*$B$6/(E36*0.000000001)^4</f>
        <v>4035911971408650</v>
      </c>
      <c r="I36" s="23" t="n">
        <f aca="false">2*hP*cL^2/(E36*0.000000001)^5*EXP(-hP*cL/(E36*0.000000001*kB*$B$6))</f>
        <v>15936981183378.3</v>
      </c>
    </row>
    <row r="37" customFormat="false" ht="15" hidden="false" customHeight="false" outlineLevel="0" collapsed="false">
      <c r="E37" s="22" t="n">
        <v>352.47</v>
      </c>
      <c r="F37" s="23" t="n">
        <f aca="false">2*hP*cL^2/(E37*0.000000001)^5/(EXP(hP*cL/(E37*0.000000001*kB*$B$6))-1)</f>
        <v>18592402103270.3</v>
      </c>
      <c r="G37" s="23" t="n">
        <f aca="false">2*hP*cL^2/(E37*0.000000001)^5/(EXP(hP*cL/(E37*0.000000001*kB*$B$7))-1)</f>
        <v>18592402103270.3</v>
      </c>
      <c r="H37" s="23" t="n">
        <f aca="false">2*cL*kB*$B$6/(E37*0.000000001)^4</f>
        <v>3095791258511280</v>
      </c>
      <c r="I37" s="23" t="n">
        <f aca="false">2*hP*cL^2/(E37*0.000000001)^5*EXP(-hP*cL/(E37*0.000000001*kB*$B$6))</f>
        <v>18576626509493.9</v>
      </c>
    </row>
    <row r="38" customFormat="false" ht="15" hidden="false" customHeight="false" outlineLevel="0" collapsed="false">
      <c r="E38" s="22" t="n">
        <v>376.64</v>
      </c>
      <c r="F38" s="23" t="n">
        <f aca="false">2*hP*cL^2/(E38*0.000000001)^5/(EXP(hP*cL/(E38*0.000000001*kB*$B$6))-1)</f>
        <v>21019516597091.2</v>
      </c>
      <c r="G38" s="23" t="n">
        <f aca="false">2*hP*cL^2/(E38*0.000000001)^5/(EXP(hP*cL/(E38*0.000000001*kB*$B$7))-1)</f>
        <v>21019516597091.2</v>
      </c>
      <c r="H38" s="23" t="n">
        <f aca="false">2*cL*kB*$B$6/(E38*0.000000001)^4</f>
        <v>2374403583458507</v>
      </c>
      <c r="I38" s="23" t="n">
        <f aca="false">2*hP*cL^2/(E38*0.000000001)^5*EXP(-hP*cL/(E38*0.000000001*kB*$B$6))</f>
        <v>20991438369040.4</v>
      </c>
    </row>
    <row r="39" customFormat="false" ht="15" hidden="false" customHeight="false" outlineLevel="0" collapsed="false">
      <c r="E39" s="22" t="n">
        <v>402.46</v>
      </c>
      <c r="F39" s="23" t="n">
        <f aca="false">2*hP*cL^2/(E39*0.000000001)^5/(EXP(hP*cL/(E39*0.000000001*kB*$B$6))-1)</f>
        <v>23085946746738</v>
      </c>
      <c r="G39" s="23" t="n">
        <f aca="false">2*hP*cL^2/(E39*0.000000001)^5/(EXP(hP*cL/(E39*0.000000001*kB*$B$7))-1)</f>
        <v>23085946746738</v>
      </c>
      <c r="H39" s="23" t="n">
        <f aca="false">2*cL*kB*$B$6/(E39*0.000000001)^4</f>
        <v>1821249360382890</v>
      </c>
      <c r="I39" s="23" t="n">
        <f aca="false">2*hP*cL^2/(E39*0.000000001)^5*EXP(-hP*cL/(E39*0.000000001*kB*$B$6))</f>
        <v>23038795449923.9</v>
      </c>
    </row>
    <row r="40" customFormat="false" ht="15" hidden="false" customHeight="false" outlineLevel="0" collapsed="false">
      <c r="E40" s="22" t="n">
        <v>430.05</v>
      </c>
      <c r="F40" s="23" t="n">
        <f aca="false">2*hP*cL^2/(E40*0.000000001)^5/(EXP(hP*cL/(E40*0.000000001*kB*$B$6))-1)</f>
        <v>24681348268065.5</v>
      </c>
      <c r="G40" s="23" t="n">
        <f aca="false">2*hP*cL^2/(E40*0.000000001)^5/(EXP(hP*cL/(E40*0.000000001*kB*$B$7))-1)</f>
        <v>24681348268065.5</v>
      </c>
      <c r="H40" s="23" t="n">
        <f aca="false">2*cL*kB*$B$6/(E40*0.000000001)^4</f>
        <v>1396961688105680</v>
      </c>
      <c r="I40" s="23" t="n">
        <f aca="false">2*hP*cL^2/(E40*0.000000001)^5*EXP(-hP*cL/(E40*0.000000001*kB*$B$6))</f>
        <v>24606344460893.3</v>
      </c>
    </row>
    <row r="41" customFormat="false" ht="15" hidden="false" customHeight="false" outlineLevel="0" collapsed="false">
      <c r="E41" s="22" t="n">
        <v>459.53</v>
      </c>
      <c r="F41" s="23" t="n">
        <f aca="false">2*hP*cL^2/(E41*0.000000001)^5/(EXP(hP*cL/(E41*0.000000001*kB*$B$6))-1)</f>
        <v>25732449156889.8</v>
      </c>
      <c r="G41" s="23" t="n">
        <f aca="false">2*hP*cL^2/(E41*0.000000001)^5/(EXP(hP*cL/(E41*0.000000001*kB*$B$7))-1)</f>
        <v>25732449156889.8</v>
      </c>
      <c r="H41" s="23" t="n">
        <f aca="false">2*cL*kB*$B$6/(E41*0.000000001)^4</f>
        <v>1071531214820490</v>
      </c>
      <c r="I41" s="23" t="n">
        <f aca="false">2*hP*cL^2/(E41*0.000000001)^5*EXP(-hP*cL/(E41*0.000000001*kB*$B$6))</f>
        <v>25619030180469.1</v>
      </c>
    </row>
    <row r="42" customFormat="false" ht="15" hidden="false" customHeight="false" outlineLevel="0" collapsed="false">
      <c r="E42" s="22" t="n">
        <v>491.03</v>
      </c>
      <c r="F42" s="23" t="n">
        <f aca="false">2*hP*cL^2/(E42*0.000000001)^5/(EXP(hP*cL/(E42*0.000000001*kB*$B$6))-1)</f>
        <v>26208225778015.7</v>
      </c>
      <c r="G42" s="23" t="n">
        <f aca="false">2*hP*cL^2/(E42*0.000000001)^5/(EXP(hP*cL/(E42*0.000000001*kB*$B$7))-1)</f>
        <v>26208225778015.7</v>
      </c>
      <c r="H42" s="23" t="n">
        <f aca="false">2*cL*kB*$B$6/(E42*0.000000001)^4</f>
        <v>821917442886886</v>
      </c>
      <c r="I42" s="23" t="n">
        <f aca="false">2*hP*cL^2/(E42*0.000000001)^5*EXP(-hP*cL/(E42*0.000000001*kB*$B$6))</f>
        <v>26044631338575.4</v>
      </c>
    </row>
    <row r="43" customFormat="false" ht="15" hidden="false" customHeight="false" outlineLevel="0" collapsed="false">
      <c r="E43" s="22" t="n">
        <v>524.69</v>
      </c>
      <c r="F43" s="23" t="n">
        <f aca="false">2*hP*cL^2/(E43*0.000000001)^5/(EXP(hP*cL/(E43*0.000000001*kB*$B$6))-1)</f>
        <v>26118576859188.5</v>
      </c>
      <c r="G43" s="23" t="n">
        <f aca="false">2*hP*cL^2/(E43*0.000000001)^5/(EXP(hP*cL/(E43*0.000000001*kB*$B$7))-1)</f>
        <v>26118576859188.5</v>
      </c>
      <c r="H43" s="23" t="n">
        <f aca="false">2*cL*kB*$B$6/(E43*0.000000001)^4</f>
        <v>630447831470422</v>
      </c>
      <c r="I43" s="23" t="n">
        <f aca="false">2*hP*cL^2/(E43*0.000000001)^5*EXP(-hP*cL/(E43*0.000000001*kB*$B$6))</f>
        <v>25892781649934.5</v>
      </c>
    </row>
    <row r="44" customFormat="false" ht="15" hidden="false" customHeight="false" outlineLevel="0" collapsed="false">
      <c r="E44" s="22" t="n">
        <v>560.66</v>
      </c>
      <c r="F44" s="23" t="n">
        <f aca="false">2*hP*cL^2/(E44*0.000000001)^5/(EXP(hP*cL/(E44*0.000000001*kB*$B$6))-1)</f>
        <v>25508635083856.4</v>
      </c>
      <c r="G44" s="23" t="n">
        <f aca="false">2*hP*cL^2/(E44*0.000000001)^5/(EXP(hP*cL/(E44*0.000000001*kB*$B$7))-1)</f>
        <v>25508635083856.4</v>
      </c>
      <c r="H44" s="23" t="n">
        <f aca="false">2*cL*kB*$B$6/(E44*0.000000001)^4</f>
        <v>483572965085207</v>
      </c>
      <c r="I44" s="23" t="n">
        <f aca="false">2*hP*cL^2/(E44*0.000000001)^5*EXP(-hP*cL/(E44*0.000000001*kB*$B$6))</f>
        <v>25209530947714.1</v>
      </c>
    </row>
    <row r="45" customFormat="false" ht="15" hidden="false" customHeight="false" outlineLevel="0" collapsed="false">
      <c r="E45" s="22" t="n">
        <v>599.09</v>
      </c>
      <c r="F45" s="23" t="n">
        <f aca="false">2*hP*cL^2/(E45*0.000000001)^5/(EXP(hP*cL/(E45*0.000000001*kB*$B$6))-1)</f>
        <v>24450534739151.1</v>
      </c>
      <c r="G45" s="23" t="n">
        <f aca="false">2*hP*cL^2/(E45*0.000000001)^5/(EXP(hP*cL/(E45*0.000000001*kB*$B$7))-1)</f>
        <v>24450534739151.1</v>
      </c>
      <c r="H45" s="23" t="n">
        <f aca="false">2*cL*kB*$B$6/(E45*0.000000001)^4</f>
        <v>370930053384287</v>
      </c>
      <c r="I45" s="23" t="n">
        <f aca="false">2*hP*cL^2/(E45*0.000000001)^5*EXP(-hP*cL/(E45*0.000000001*kB*$B$6))</f>
        <v>24069220253475.1</v>
      </c>
    </row>
    <row r="46" customFormat="false" ht="15" hidden="false" customHeight="false" outlineLevel="0" collapsed="false">
      <c r="E46" s="22" t="n">
        <v>640.16</v>
      </c>
      <c r="F46" s="23" t="n">
        <f aca="false">2*hP*cL^2/(E46*0.000000001)^5/(EXP(hP*cL/(E46*0.000000001*kB*$B$6))-1)</f>
        <v>23032770011680.9</v>
      </c>
      <c r="G46" s="23" t="n">
        <f aca="false">2*hP*cL^2/(E46*0.000000001)^5/(EXP(hP*cL/(E46*0.000000001*kB*$B$7))-1)</f>
        <v>23032770011680.9</v>
      </c>
      <c r="H46" s="23" t="n">
        <f aca="false">2*cL*kB*$B$6/(E46*0.000000001)^4</f>
        <v>284515654890532</v>
      </c>
      <c r="I46" s="23" t="n">
        <f aca="false">2*hP*cL^2/(E46*0.000000001)^5*EXP(-hP*cL/(E46*0.000000001*kB*$B$6))</f>
        <v>22563663962243.1</v>
      </c>
    </row>
    <row r="47" customFormat="false" ht="15" hidden="false" customHeight="false" outlineLevel="0" collapsed="false">
      <c r="E47" s="22" t="n">
        <v>684.05</v>
      </c>
      <c r="F47" s="23" t="n">
        <f aca="false">2*hP*cL^2/(E47*0.000000001)^5/(EXP(hP*cL/(E47*0.000000001*kB*$B$6))-1)</f>
        <v>21351211740582.1</v>
      </c>
      <c r="G47" s="23" t="n">
        <f aca="false">2*hP*cL^2/(E47*0.000000001)^5/(EXP(hP*cL/(E47*0.000000001*kB*$B$7))-1)</f>
        <v>21351211740582.1</v>
      </c>
      <c r="H47" s="23" t="n">
        <f aca="false">2*cL*kB*$B$6/(E47*0.000000001)^4</f>
        <v>218227217260096</v>
      </c>
      <c r="I47" s="23" t="n">
        <f aca="false">2*hP*cL^2/(E47*0.000000001)^5*EXP(-hP*cL/(E47*0.000000001*kB*$B$6))</f>
        <v>20792934255940.9</v>
      </c>
    </row>
    <row r="48" customFormat="false" ht="15" hidden="false" customHeight="false" outlineLevel="0" collapsed="false">
      <c r="E48" s="22" t="n">
        <v>730.94</v>
      </c>
      <c r="F48" s="23" t="n">
        <f aca="false">2*hP*cL^2/(E48*0.000000001)^5/(EXP(hP*cL/(E48*0.000000001*kB*$B$6))-1)</f>
        <v>19501016031007.3</v>
      </c>
      <c r="G48" s="23" t="n">
        <f aca="false">2*hP*cL^2/(E48*0.000000001)^5/(EXP(hP*cL/(E48*0.000000001*kB*$B$7))-1)</f>
        <v>19501016031007.3</v>
      </c>
      <c r="H48" s="23" t="n">
        <f aca="false">2*cL*kB*$B$6/(E48*0.000000001)^4</f>
        <v>167391495000256</v>
      </c>
      <c r="I48" s="23" t="n">
        <f aca="false">2*hP*cL^2/(E48*0.000000001)^5*EXP(-hP*cL/(E48*0.000000001*kB*$B$6))</f>
        <v>18856835972991.7</v>
      </c>
    </row>
    <row r="49" customFormat="false" ht="15" hidden="false" customHeight="false" outlineLevel="0" collapsed="false">
      <c r="E49" s="22" t="n">
        <v>781.05</v>
      </c>
      <c r="F49" s="23" t="n">
        <f aca="false">2*hP*cL^2/(E49*0.000000001)^5/(EXP(hP*cL/(E49*0.000000001*kB*$B$6))-1)</f>
        <v>17568533812077.9</v>
      </c>
      <c r="G49" s="23" t="n">
        <f aca="false">2*hP*cL^2/(E49*0.000000001)^5/(EXP(hP*cL/(E49*0.000000001*kB*$B$7))-1)</f>
        <v>17568533812077.9</v>
      </c>
      <c r="H49" s="23" t="n">
        <f aca="false">2*cL*kB*$B$6/(E49*0.000000001)^4</f>
        <v>128394067299702</v>
      </c>
      <c r="I49" s="23" t="n">
        <f aca="false">2*hP*cL^2/(E49*0.000000001)^5*EXP(-hP*cL/(E49*0.000000001*kB*$B$6))</f>
        <v>16846253777315.9</v>
      </c>
    </row>
    <row r="50" customFormat="false" ht="15" hidden="false" customHeight="false" outlineLevel="0" collapsed="false">
      <c r="E50" s="22" t="n">
        <v>834.59</v>
      </c>
      <c r="F50" s="23" t="n">
        <f aca="false">2*hP*cL^2/(E50*0.000000001)^5/(EXP(hP*cL/(E50*0.000000001*kB*$B$6))-1)</f>
        <v>15628981120970.3</v>
      </c>
      <c r="G50" s="23" t="n">
        <f aca="false">2*hP*cL^2/(E50*0.000000001)^5/(EXP(hP*cL/(E50*0.000000001*kB*$B$7))-1)</f>
        <v>15628981120970.3</v>
      </c>
      <c r="H50" s="23" t="n">
        <f aca="false">2*cL*kB*$B$6/(E50*0.000000001)^4</f>
        <v>98484434791860.8</v>
      </c>
      <c r="I50" s="23" t="n">
        <f aca="false">2*hP*cL^2/(E50*0.000000001)^5*EXP(-hP*cL/(E50*0.000000001*kB*$B$6))</f>
        <v>14840454567079.6</v>
      </c>
    </row>
    <row r="51" customFormat="false" ht="15" hidden="false" customHeight="false" outlineLevel="0" collapsed="false">
      <c r="E51" s="22" t="n">
        <v>891.81</v>
      </c>
      <c r="F51" s="23" t="n">
        <f aca="false">2*hP*cL^2/(E51*0.000000001)^5/(EXP(hP*cL/(E51*0.000000001*kB*$B$6))-1)</f>
        <v>13742367973583.9</v>
      </c>
      <c r="G51" s="23" t="n">
        <f aca="false">2*hP*cL^2/(E51*0.000000001)^5/(EXP(hP*cL/(E51*0.000000001*kB*$B$7))-1)</f>
        <v>13742367973583.9</v>
      </c>
      <c r="H51" s="23" t="n">
        <f aca="false">2*cL*kB*$B$6/(E51*0.000000001)^4</f>
        <v>75538951478315</v>
      </c>
      <c r="I51" s="23" t="n">
        <f aca="false">2*hP*cL^2/(E51*0.000000001)^5*EXP(-hP*cL/(E51*0.000000001*kB*$B$6))</f>
        <v>12902575023329.2</v>
      </c>
    </row>
    <row r="52" customFormat="false" ht="15" hidden="false" customHeight="false" outlineLevel="0" collapsed="false">
      <c r="E52" s="22" t="n">
        <v>952.94</v>
      </c>
      <c r="F52" s="23" t="n">
        <f aca="false">2*hP*cL^2/(E52*0.000000001)^5/(EXP(hP*cL/(E52*0.000000001*kB*$B$6))-1)</f>
        <v>11955065867452.2</v>
      </c>
      <c r="G52" s="23" t="n">
        <f aca="false">2*hP*cL^2/(E52*0.000000001)^5/(EXP(hP*cL/(E52*0.000000001*kB*$B$7))-1)</f>
        <v>11955065867452.2</v>
      </c>
      <c r="H52" s="23" t="n">
        <f aca="false">2*cL*kB*$B$6/(E52*0.000000001)^4</f>
        <v>57942612906200.1</v>
      </c>
      <c r="I52" s="23" t="n">
        <f aca="false">2*hP*cL^2/(E52*0.000000001)^5*EXP(-hP*cL/(E52*0.000000001*kB*$B$6))</f>
        <v>11081024025145.7</v>
      </c>
    </row>
    <row r="53" customFormat="false" ht="15" hidden="false" customHeight="false" outlineLevel="0" collapsed="false">
      <c r="E53" s="22" t="n">
        <v>1018.27</v>
      </c>
      <c r="F53" s="23" t="n">
        <f aca="false">2*hP*cL^2/(E53*0.000000001)^5/(EXP(hP*cL/(E53*0.000000001*kB*$B$6))-1)</f>
        <v>10298041358375.8</v>
      </c>
      <c r="G53" s="23" t="n">
        <f aca="false">2*hP*cL^2/(E53*0.000000001)^5/(EXP(hP*cL/(E53*0.000000001*kB*$B$7))-1)</f>
        <v>10298041358375.8</v>
      </c>
      <c r="H53" s="23" t="n">
        <f aca="false">2*cL*kB*$B$6/(E53*0.000000001)^4</f>
        <v>44443526106543.4</v>
      </c>
      <c r="I53" s="23" t="n">
        <f aca="false">2*hP*cL^2/(E53*0.000000001)^5*EXP(-hP*cL/(E53*0.000000001*kB*$B$6))</f>
        <v>9407571032921.93</v>
      </c>
    </row>
    <row r="54" customFormat="false" ht="15" hidden="false" customHeight="false" outlineLevel="0" collapsed="false">
      <c r="E54" s="22" t="n">
        <v>1088.08</v>
      </c>
      <c r="F54" s="23" t="n">
        <f aca="false">2*hP*cL^2/(E54*0.000000001)^5/(EXP(hP*cL/(E54*0.000000001*kB*$B$6))-1)</f>
        <v>8790684018303.82</v>
      </c>
      <c r="G54" s="23" t="n">
        <f aca="false">2*hP*cL^2/(E54*0.000000001)^5/(EXP(hP*cL/(E54*0.000000001*kB*$B$7))-1)</f>
        <v>8790684018303.82</v>
      </c>
      <c r="H54" s="23" t="n">
        <f aca="false">2*cL*kB*$B$6/(E54*0.000000001)^4</f>
        <v>34089214432875.9</v>
      </c>
      <c r="I54" s="23" t="n">
        <f aca="false">2*hP*cL^2/(E54*0.000000001)^5*EXP(-hP*cL/(E54*0.000000001*kB*$B$6))</f>
        <v>7901284156883.4</v>
      </c>
    </row>
    <row r="55" customFormat="false" ht="15" hidden="false" customHeight="false" outlineLevel="0" collapsed="false">
      <c r="E55" s="22" t="n">
        <v>1162.67</v>
      </c>
      <c r="F55" s="23" t="n">
        <f aca="false">2*hP*cL^2/(E55*0.000000001)^5/(EXP(hP*cL/(E55*0.000000001*kB*$B$6))-1)</f>
        <v>7441875457520.55</v>
      </c>
      <c r="G55" s="23" t="n">
        <f aca="false">2*hP*cL^2/(E55*0.000000001)^5/(EXP(hP*cL/(E55*0.000000001*kB*$B$7))-1)</f>
        <v>7441875457520.55</v>
      </c>
      <c r="H55" s="23" t="n">
        <f aca="false">2*cL*kB*$B$6/(E55*0.000000001)^4</f>
        <v>26147756809002.4</v>
      </c>
      <c r="I55" s="23" t="n">
        <f aca="false">2*hP*cL^2/(E55*0.000000001)^5*EXP(-hP*cL/(E55*0.000000001*kB*$B$6))</f>
        <v>6569737271661.69</v>
      </c>
    </row>
    <row r="56" customFormat="false" ht="15" hidden="false" customHeight="false" outlineLevel="0" collapsed="false">
      <c r="E56" s="22" t="n">
        <v>1242.37</v>
      </c>
      <c r="F56" s="23" t="n">
        <f aca="false">2*hP*cL^2/(E56*0.000000001)^5/(EXP(hP*cL/(E56*0.000000001*kB*$B$6))-1)</f>
        <v>6252103474476.47</v>
      </c>
      <c r="G56" s="23" t="n">
        <f aca="false">2*hP*cL^2/(E56*0.000000001)^5/(EXP(hP*cL/(E56*0.000000001*kB*$B$7))-1)</f>
        <v>6252103474476.47</v>
      </c>
      <c r="H56" s="23" t="n">
        <f aca="false">2*cL*kB*$B$6/(E56*0.000000001)^4</f>
        <v>20056561549552.1</v>
      </c>
      <c r="I56" s="23" t="n">
        <f aca="false">2*hP*cL^2/(E56*0.000000001)^5*EXP(-hP*cL/(E56*0.000000001*kB*$B$6))</f>
        <v>5411365986895.19</v>
      </c>
    </row>
    <row r="57" customFormat="false" ht="15" hidden="false" customHeight="false" outlineLevel="0" collapsed="false">
      <c r="E57" s="22" t="n">
        <v>1327.54</v>
      </c>
      <c r="F57" s="23" t="n">
        <f aca="false">2*hP*cL^2/(E57*0.000000001)^5/(EXP(hP*cL/(E57*0.000000001*kB*$B$6))-1)</f>
        <v>5215741061181.37</v>
      </c>
      <c r="G57" s="23" t="n">
        <f aca="false">2*hP*cL^2/(E57*0.000000001)^5/(EXP(hP*cL/(E57*0.000000001*kB*$B$7))-1)</f>
        <v>5215741061181.37</v>
      </c>
      <c r="H57" s="23" t="n">
        <f aca="false">2*cL*kB*$B$6/(E57*0.000000001)^4</f>
        <v>15384020187259.2</v>
      </c>
      <c r="I57" s="23" t="n">
        <f aca="false">2*hP*cL^2/(E57*0.000000001)^5*EXP(-hP*cL/(E57*0.000000001*kB*$B$6))</f>
        <v>4418014882771.7</v>
      </c>
    </row>
    <row r="58" customFormat="false" ht="15" hidden="false" customHeight="false" outlineLevel="0" collapsed="false">
      <c r="E58" s="22" t="n">
        <v>1418.55</v>
      </c>
      <c r="F58" s="23" t="n">
        <f aca="false">2*hP*cL^2/(E58*0.000000001)^5/(EXP(hP*cL/(E58*0.000000001*kB*$B$6))-1)</f>
        <v>4323201777756.76</v>
      </c>
      <c r="G58" s="23" t="n">
        <f aca="false">2*hP*cL^2/(E58*0.000000001)^5/(EXP(hP*cL/(E58*0.000000001*kB*$B$7))-1)</f>
        <v>4323201777756.76</v>
      </c>
      <c r="H58" s="23" t="n">
        <f aca="false">2*cL*kB*$B$6/(E58*0.000000001)^4</f>
        <v>11799991958011.7</v>
      </c>
      <c r="I58" s="23" t="n">
        <f aca="false">2*hP*cL^2/(E58*0.000000001)^5*EXP(-hP*cL/(E58*0.000000001*kB*$B$6))</f>
        <v>3577335477886.84</v>
      </c>
    </row>
    <row r="59" customFormat="false" ht="15" hidden="false" customHeight="false" outlineLevel="0" collapsed="false">
      <c r="E59" s="22" t="n">
        <v>1515.79</v>
      </c>
      <c r="F59" s="23" t="n">
        <f aca="false">2*hP*cL^2/(E59*0.000000001)^5/(EXP(hP*cL/(E59*0.000000001*kB*$B$6))-1)</f>
        <v>3562311909621.39</v>
      </c>
      <c r="G59" s="23" t="n">
        <f aca="false">2*hP*cL^2/(E59*0.000000001)^5/(EXP(hP*cL/(E59*0.000000001*kB*$B$7))-1)</f>
        <v>3562311909621.39</v>
      </c>
      <c r="H59" s="23" t="n">
        <f aca="false">2*cL*kB*$B$6/(E59*0.000000001)^4</f>
        <v>9051158148612.3</v>
      </c>
      <c r="I59" s="23" t="n">
        <f aca="false">2*hP*cL^2/(E59*0.000000001)^5*EXP(-hP*cL/(E59*0.000000001*kB*$B$6))</f>
        <v>2874382009629.94</v>
      </c>
    </row>
    <row r="60" customFormat="false" ht="15" hidden="false" customHeight="false" outlineLevel="0" collapsed="false">
      <c r="E60" s="22" t="n">
        <v>1619.71</v>
      </c>
      <c r="F60" s="23" t="n">
        <f aca="false">2*hP*cL^2/(E60*0.000000001)^5/(EXP(hP*cL/(E60*0.000000001*kB*$B$6))-1)</f>
        <v>2919347055982.14</v>
      </c>
      <c r="G60" s="23" t="n">
        <f aca="false">2*hP*cL^2/(E60*0.000000001)^5/(EXP(hP*cL/(E60*0.000000001*kB*$B$7))-1)</f>
        <v>2919347055982.14</v>
      </c>
      <c r="H60" s="23" t="n">
        <f aca="false">2*cL*kB*$B$6/(E60*0.000000001)^4</f>
        <v>6942425846457.63</v>
      </c>
      <c r="I60" s="23" t="n">
        <f aca="false">2*hP*cL^2/(E60*0.000000001)^5*EXP(-hP*cL/(E60*0.000000001*kB*$B$6))</f>
        <v>2292848613850.26</v>
      </c>
    </row>
    <row r="61" customFormat="false" ht="15" hidden="false" customHeight="false" outlineLevel="0" collapsed="false">
      <c r="E61" s="22" t="n">
        <v>1730.74</v>
      </c>
      <c r="F61" s="23" t="n">
        <f aca="false">2*hP*cL^2/(E61*0.000000001)^5/(EXP(hP*cL/(E61*0.000000001*kB*$B$6))-1)</f>
        <v>2380571177054.06</v>
      </c>
      <c r="G61" s="23" t="n">
        <f aca="false">2*hP*cL^2/(E61*0.000000001)^5/(EXP(hP*cL/(E61*0.000000001*kB*$B$7))-1)</f>
        <v>2380571177054.06</v>
      </c>
      <c r="H61" s="23" t="n">
        <f aca="false">2*cL*kB*$B$6/(E61*0.000000001)^4</f>
        <v>5325163906406.56</v>
      </c>
      <c r="I61" s="23" t="n">
        <f aca="false">2*hP*cL^2/(E61*0.000000001)^5*EXP(-hP*cL/(E61*0.000000001*kB*$B$6))</f>
        <v>1816683933036.98</v>
      </c>
    </row>
    <row r="62" customFormat="false" ht="15" hidden="false" customHeight="false" outlineLevel="0" collapsed="false">
      <c r="E62" s="22" t="n">
        <v>1849.39</v>
      </c>
      <c r="F62" s="23" t="n">
        <f aca="false">2*hP*cL^2/(E62*0.000000001)^5/(EXP(hP*cL/(E62*0.000000001*kB*$B$6))-1)</f>
        <v>1932307867894.56</v>
      </c>
      <c r="G62" s="23" t="n">
        <f aca="false">2*hP*cL^2/(E62*0.000000001)^5/(EXP(hP*cL/(E62*0.000000001*kB*$B$7))-1)</f>
        <v>1932307867894.56</v>
      </c>
      <c r="H62" s="23" t="n">
        <f aca="false">2*cL*kB*$B$6/(E62*0.000000001)^4</f>
        <v>4084569440302.02</v>
      </c>
      <c r="I62" s="23" t="n">
        <f aca="false">2*hP*cL^2/(E62*0.000000001)^5*EXP(-hP*cL/(E62*0.000000001*kB*$B$6))</f>
        <v>1430293128535.08</v>
      </c>
    </row>
    <row r="63" customFormat="false" ht="15" hidden="false" customHeight="false" outlineLevel="0" collapsed="false">
      <c r="E63" s="22" t="n">
        <v>1976.17</v>
      </c>
      <c r="F63" s="23" t="n">
        <f aca="false">2*hP*cL^2/(E63*0.000000001)^5/(EXP(hP*cL/(E63*0.000000001*kB*$B$6))-1)</f>
        <v>1561856455569.02</v>
      </c>
      <c r="G63" s="23" t="n">
        <f aca="false">2*hP*cL^2/(E63*0.000000001)^5/(EXP(hP*cL/(E63*0.000000001*kB*$B$7))-1)</f>
        <v>1561856455569.02</v>
      </c>
      <c r="H63" s="23" t="n">
        <f aca="false">2*cL*kB*$B$6/(E63*0.000000001)^4</f>
        <v>3133019482658.07</v>
      </c>
      <c r="I63" s="23" t="n">
        <f aca="false">2*hP*cL^2/(E63*0.000000001)^5*EXP(-hP*cL/(E63*0.000000001*kB*$B$6))</f>
        <v>1119436535281.71</v>
      </c>
    </row>
    <row r="64" customFormat="false" ht="15" hidden="false" customHeight="false" outlineLevel="0" collapsed="false">
      <c r="E64" s="22" t="n">
        <v>2111.64</v>
      </c>
      <c r="F64" s="23" t="n">
        <f aca="false">2*hP*cL^2/(E64*0.000000001)^5/(EXP(hP*cL/(E64*0.000000001*kB*$B$6))-1)</f>
        <v>1257536284468.72</v>
      </c>
      <c r="G64" s="23" t="n">
        <f aca="false">2*hP*cL^2/(E64*0.000000001)^5/(EXP(hP*cL/(E64*0.000000001*kB*$B$7))-1)</f>
        <v>1257536284468.72</v>
      </c>
      <c r="H64" s="23" t="n">
        <f aca="false">2*cL*kB*$B$6/(E64*0.000000001)^4</f>
        <v>2403149468135.14</v>
      </c>
      <c r="I64" s="23" t="n">
        <f aca="false">2*hP*cL^2/(E64*0.000000001)^5*EXP(-hP*cL/(E64*0.000000001*kB*$B$6))</f>
        <v>871295601744.457</v>
      </c>
    </row>
    <row r="65" customFormat="false" ht="15" hidden="false" customHeight="false" outlineLevel="0" collapsed="false">
      <c r="E65" s="22" t="n">
        <v>2256.4</v>
      </c>
      <c r="F65" s="23" t="n">
        <f aca="false">2*hP*cL^2/(E65*0.000000001)^5/(EXP(hP*cL/(E65*0.000000001*kB*$B$6))-1)</f>
        <v>1008895448645.1</v>
      </c>
      <c r="G65" s="23" t="n">
        <f aca="false">2*hP*cL^2/(E65*0.000000001)^5/(EXP(hP*cL/(E65*0.000000001*kB*$B$7))-1)</f>
        <v>1008895448645.1</v>
      </c>
      <c r="H65" s="23" t="n">
        <f aca="false">2*cL*kB*$B$6/(E65*0.000000001)^4</f>
        <v>1843299645131.98</v>
      </c>
      <c r="I65" s="23" t="n">
        <f aca="false">2*hP*cL^2/(E65*0.000000001)^5*EXP(-hP*cL/(E65*0.000000001*kB*$B$6))</f>
        <v>674643716287.847</v>
      </c>
    </row>
    <row r="66" customFormat="false" ht="15" hidden="false" customHeight="false" outlineLevel="0" collapsed="false">
      <c r="E66" s="22" t="n">
        <v>2411.09</v>
      </c>
      <c r="F66" s="23" t="n">
        <f aca="false">2*hP*cL^2/(E66*0.000000001)^5/(EXP(hP*cL/(E66*0.000000001*kB*$B$6))-1)</f>
        <v>806750519417.823</v>
      </c>
      <c r="G66" s="23" t="n">
        <f aca="false">2*hP*cL^2/(E66*0.000000001)^5/(EXP(hP*cL/(E66*0.000000001*kB*$B$7))-1)</f>
        <v>806750519417.823</v>
      </c>
      <c r="H66" s="23" t="n">
        <f aca="false">2*cL*kB*$B$6/(E66*0.000000001)^4</f>
        <v>1413860678963.12</v>
      </c>
      <c r="I66" s="23" t="n">
        <f aca="false">2*hP*cL^2/(E66*0.000000001)^5*EXP(-hP*cL/(E66*0.000000001*kB*$B$6))</f>
        <v>519839083021.105</v>
      </c>
    </row>
    <row r="67" customFormat="false" ht="15" hidden="false" customHeight="false" outlineLevel="0" collapsed="false">
      <c r="E67" s="22" t="n">
        <v>2576.37</v>
      </c>
      <c r="F67" s="23" t="n">
        <f aca="false">2*hP*cL^2/(E67*0.000000001)^5/(EXP(hP*cL/(E67*0.000000001*kB*$B$6))-1)</f>
        <v>643168358646.74</v>
      </c>
      <c r="G67" s="23" t="n">
        <f aca="false">2*hP*cL^2/(E67*0.000000001)^5/(EXP(hP*cL/(E67*0.000000001*kB*$B$7))-1)</f>
        <v>643168358646.74</v>
      </c>
      <c r="H67" s="23" t="n">
        <f aca="false">2*cL*kB*$B$6/(E67*0.000000001)^4</f>
        <v>1084494539967.76</v>
      </c>
      <c r="I67" s="23" t="n">
        <f aca="false">2*hP*cL^2/(E67*0.000000001)^5*EXP(-hP*cL/(E67*0.000000001*kB*$B$6))</f>
        <v>398748157779.93</v>
      </c>
    </row>
    <row r="68" customFormat="false" ht="15" hidden="false" customHeight="false" outlineLevel="0" collapsed="false">
      <c r="E68" s="22" t="n">
        <v>2752.99</v>
      </c>
      <c r="F68" s="23" t="n">
        <f aca="false">2*hP*cL^2/(E68*0.000000001)^5/(EXP(hP*cL/(E68*0.000000001*kB*$B$6))-1)</f>
        <v>511318364975.353</v>
      </c>
      <c r="G68" s="23" t="n">
        <f aca="false">2*hP*cL^2/(E68*0.000000001)^5/(EXP(hP*cL/(E68*0.000000001*kB*$B$7))-1)</f>
        <v>511318364975.353</v>
      </c>
      <c r="H68" s="23" t="n">
        <f aca="false">2*cL*kB*$B$6/(E68*0.000000001)^4</f>
        <v>831843769801.144</v>
      </c>
      <c r="I68" s="23" t="n">
        <f aca="false">2*hP*cL^2/(E68*0.000000001)^5*EXP(-hP*cL/(E68*0.000000001*kB*$B$6))</f>
        <v>304560877785.073</v>
      </c>
    </row>
    <row r="69" customFormat="false" ht="15" hidden="false" customHeight="false" outlineLevel="0" collapsed="false">
      <c r="E69" s="22" t="n">
        <v>2941.72</v>
      </c>
      <c r="F69" s="23" t="n">
        <f aca="false">2*hP*cL^2/(E69*0.000000001)^5/(EXP(hP*cL/(E69*0.000000001*kB*$B$6))-1)</f>
        <v>405450661054.979</v>
      </c>
      <c r="G69" s="23" t="n">
        <f aca="false">2*hP*cL^2/(E69*0.000000001)^5/(EXP(hP*cL/(E69*0.000000001*kB*$B$7))-1)</f>
        <v>405450661054.979</v>
      </c>
      <c r="H69" s="23" t="n">
        <f aca="false">2*cL*kB*$B$6/(E69*0.000000001)^4</f>
        <v>638050379094.348</v>
      </c>
      <c r="I69" s="23" t="n">
        <f aca="false">2*hP*cL^2/(E69*0.000000001)^5*EXP(-hP*cL/(E69*0.000000001*kB*$B$6))</f>
        <v>231696155396.942</v>
      </c>
    </row>
    <row r="70" customFormat="false" ht="15" hidden="false" customHeight="false" outlineLevel="0" collapsed="false">
      <c r="E70" s="22" t="n">
        <v>3143.38</v>
      </c>
      <c r="F70" s="23" t="n">
        <f aca="false">2*hP*cL^2/(E70*0.000000001)^5/(EXP(hP*cL/(E70*0.000000001*kB*$B$6))-1)</f>
        <v>320742095467.485</v>
      </c>
      <c r="G70" s="23" t="n">
        <f aca="false">2*hP*cL^2/(E70*0.000000001)^5/(EXP(hP*cL/(E70*0.000000001*kB*$B$7))-1)</f>
        <v>320742095467.485</v>
      </c>
      <c r="H70" s="23" t="n">
        <f aca="false">2*cL*kB*$B$6/(E70*0.000000001)^4</f>
        <v>489409912457.223</v>
      </c>
      <c r="I70" s="23" t="n">
        <f aca="false">2*hP*cL^2/(E70*0.000000001)^5*EXP(-hP*cL/(E70*0.000000001*kB*$B$6))</f>
        <v>175610231199.258</v>
      </c>
    </row>
    <row r="71" customFormat="false" ht="15" hidden="false" customHeight="false" outlineLevel="0" collapsed="false">
      <c r="E71" s="22" t="n">
        <v>3358.87</v>
      </c>
      <c r="F71" s="23" t="n">
        <f aca="false">2*hP*cL^2/(E71*0.000000001)^5/(EXP(hP*cL/(E71*0.000000001*kB*$B$6))-1)</f>
        <v>253173140768.025</v>
      </c>
      <c r="G71" s="23" t="n">
        <f aca="false">2*hP*cL^2/(E71*0.000000001)^5/(EXP(hP*cL/(E71*0.000000001*kB*$B$7))-1)</f>
        <v>253173140768.025</v>
      </c>
      <c r="H71" s="23" t="n">
        <f aca="false">2*cL*kB*$B$6/(E71*0.000000001)^4</f>
        <v>375394168514.259</v>
      </c>
      <c r="I71" s="23" t="n">
        <f aca="false">2*hP*cL^2/(E71*0.000000001)^5*EXP(-hP*cL/(E71*0.000000001*kB*$B$6))</f>
        <v>132636478928.409</v>
      </c>
    </row>
    <row r="72" customFormat="false" ht="15" hidden="false" customHeight="false" outlineLevel="0" collapsed="false">
      <c r="E72" s="22" t="n">
        <v>3589.13</v>
      </c>
      <c r="F72" s="23" t="n">
        <f aca="false">2*hP*cL^2/(E72*0.000000001)^5/(EXP(hP*cL/(E72*0.000000001*kB*$B$6))-1)</f>
        <v>199434066877.718</v>
      </c>
      <c r="G72" s="23" t="n">
        <f aca="false">2*hP*cL^2/(E72*0.000000001)^5/(EXP(hP*cL/(E72*0.000000001*kB*$B$7))-1)</f>
        <v>199434066877.718</v>
      </c>
      <c r="H72" s="23" t="n">
        <f aca="false">2*cL*kB*$B$6/(E72*0.000000001)^4</f>
        <v>287941025997.627</v>
      </c>
      <c r="I72" s="23" t="n">
        <f aca="false">2*hP*cL^2/(E72*0.000000001)^5*EXP(-hP*cL/(E72*0.000000001*kB*$B$6))</f>
        <v>99852747204.2423</v>
      </c>
    </row>
    <row r="73" customFormat="false" ht="15" hidden="false" customHeight="false" outlineLevel="0" collapsed="false">
      <c r="E73" s="22" t="n">
        <v>3835.18</v>
      </c>
      <c r="F73" s="23" t="n">
        <f aca="false">2*hP*cL^2/(E73*0.000000001)^5/(EXP(hP*cL/(E73*0.000000001*kB*$B$6))-1)</f>
        <v>156806639523.361</v>
      </c>
      <c r="G73" s="23" t="n">
        <f aca="false">2*hP*cL^2/(E73*0.000000001)^5/(EXP(hP*cL/(E73*0.000000001*kB*$B$7))-1)</f>
        <v>156806639523.361</v>
      </c>
      <c r="H73" s="23" t="n">
        <f aca="false">2*cL*kB*$B$6/(E73*0.000000001)^4</f>
        <v>220860116077.45</v>
      </c>
      <c r="I73" s="23" t="n">
        <f aca="false">2*hP*cL^2/(E73*0.000000001)^5*EXP(-hP*cL/(E73*0.000000001*kB*$B$6))</f>
        <v>74942477339.9271</v>
      </c>
    </row>
    <row r="74" customFormat="false" ht="15" hidden="false" customHeight="false" outlineLevel="0" collapsed="false">
      <c r="E74" s="22" t="n">
        <v>4098.09</v>
      </c>
      <c r="F74" s="23" t="n">
        <f aca="false">2*hP*cL^2/(E74*0.000000001)^5/(EXP(hP*cL/(E74*0.000000001*kB*$B$6))-1)</f>
        <v>123077615573.688</v>
      </c>
      <c r="G74" s="23" t="n">
        <f aca="false">2*hP*cL^2/(E74*0.000000001)^5/(EXP(hP*cL/(E74*0.000000001*kB*$B$7))-1)</f>
        <v>123077615573.688</v>
      </c>
      <c r="H74" s="23" t="n">
        <f aca="false">2*cL*kB*$B$6/(E74*0.000000001)^4</f>
        <v>169408164136.38</v>
      </c>
      <c r="I74" s="23" t="n">
        <f aca="false">2*hP*cL^2/(E74*0.000000001)^5*EXP(-hP*cL/(E74*0.000000001*kB*$B$6))</f>
        <v>56086483703.1502</v>
      </c>
    </row>
    <row r="75" customFormat="false" ht="15" hidden="false" customHeight="false" outlineLevel="0" collapsed="false">
      <c r="E75" s="22" t="n">
        <v>4379.03</v>
      </c>
      <c r="F75" s="23" t="n">
        <f aca="false">2*hP*cL^2/(E75*0.000000001)^5/(EXP(hP*cL/(E75*0.000000001*kB*$B$6))-1)</f>
        <v>96448131167.9696</v>
      </c>
      <c r="G75" s="23" t="n">
        <f aca="false">2*hP*cL^2/(E75*0.000000001)^5/(EXP(hP*cL/(E75*0.000000001*kB*$B$7))-1)</f>
        <v>96448131167.9696</v>
      </c>
      <c r="H75" s="23" t="n">
        <f aca="false">2*cL*kB*$B$6/(E75*0.000000001)^4</f>
        <v>129941723193.418</v>
      </c>
      <c r="I75" s="23" t="n">
        <f aca="false">2*hP*cL^2/(E75*0.000000001)^5*EXP(-hP*cL/(E75*0.000000001*kB*$B$6))</f>
        <v>41862346564.0882</v>
      </c>
    </row>
    <row r="76" customFormat="false" ht="15" hidden="false" customHeight="false" outlineLevel="0" collapsed="false">
      <c r="E76" s="22" t="n">
        <v>4679.22</v>
      </c>
      <c r="F76" s="23" t="n">
        <f aca="false">2*hP*cL^2/(E76*0.000000001)^5/(EXP(hP*cL/(E76*0.000000001*kB*$B$6))-1)</f>
        <v>75468556457.111</v>
      </c>
      <c r="G76" s="23" t="n">
        <f aca="false">2*hP*cL^2/(E76*0.000000001)^5/(EXP(hP*cL/(E76*0.000000001*kB*$B$7))-1)</f>
        <v>75468556457.111</v>
      </c>
      <c r="H76" s="23" t="n">
        <f aca="false">2*cL*kB*$B$6/(E76*0.000000001)^4</f>
        <v>99670455996.2642</v>
      </c>
      <c r="I76" s="23" t="n">
        <f aca="false">2*hP*cL^2/(E76*0.000000001)^5*EXP(-hP*cL/(E76*0.000000001*kB*$B$6))</f>
        <v>31167760336.7923</v>
      </c>
    </row>
    <row r="77" customFormat="false" ht="15" hidden="false" customHeight="false" outlineLevel="0" collapsed="false">
      <c r="E77" s="22" t="n">
        <v>5000</v>
      </c>
      <c r="F77" s="23" t="n">
        <f aca="false">2*hP*cL^2/(E77*0.000000001)^5/(EXP(hP*cL/(E77*0.000000001*kB*$B$6))-1)</f>
        <v>58970693975.4761</v>
      </c>
      <c r="G77" s="23" t="n">
        <f aca="false">2*hP*cL^2/(E77*0.000000001)^5/(EXP(hP*cL/(E77*0.000000001*kB*$B$7))-1)</f>
        <v>58970693975.4761</v>
      </c>
      <c r="H77" s="23" t="n">
        <f aca="false">2*cL*kB*$B$6/(E77*0.000000001)^4</f>
        <v>76450492294.2956</v>
      </c>
      <c r="I77" s="23" t="n">
        <f aca="false">2*hP*cL^2/(E77*0.000000001)^5*EXP(-hP*cL/(E77*0.000000001*kB*$B$6))</f>
        <v>23150782629.9066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100</v>
      </c>
    </row>
    <row r="2" customFormat="false" ht="15" hidden="false" customHeight="false" outlineLevel="0" collapsed="false">
      <c r="A2" s="2" t="s">
        <v>101</v>
      </c>
    </row>
    <row r="3" customFormat="false" ht="15" hidden="false" customHeight="false" outlineLevel="0" collapsed="false">
      <c r="A3" s="9" t="s">
        <v>102</v>
      </c>
    </row>
    <row r="5" customFormat="false" ht="15" hidden="false" customHeight="false" outlineLevel="0" collapsed="false">
      <c r="A5" s="10" t="s">
        <v>103</v>
      </c>
    </row>
    <row r="6" customFormat="false" ht="15" hidden="false" customHeight="false" outlineLevel="0" collapsed="false">
      <c r="A6" s="2" t="s">
        <v>104</v>
      </c>
      <c r="B6" s="11" t="n">
        <v>1</v>
      </c>
      <c r="C6" s="7" t="s">
        <v>105</v>
      </c>
    </row>
    <row r="7" customFormat="false" ht="15" hidden="false" customHeight="false" outlineLevel="0" collapsed="false">
      <c r="A7" s="2" t="s">
        <v>106</v>
      </c>
      <c r="B7" s="11" t="n">
        <v>1</v>
      </c>
      <c r="C7" s="7" t="s">
        <v>62</v>
      </c>
    </row>
    <row r="8" customFormat="false" ht="15" hidden="false" customHeight="false" outlineLevel="0" collapsed="false">
      <c r="A8" s="2" t="s">
        <v>107</v>
      </c>
      <c r="B8" s="11" t="n">
        <v>0.7</v>
      </c>
      <c r="C8" s="7"/>
    </row>
    <row r="9" customFormat="false" ht="15" hidden="false" customHeight="false" outlineLevel="0" collapsed="false">
      <c r="A9" s="2" t="s">
        <v>108</v>
      </c>
      <c r="B9" s="11" t="n">
        <v>0.001</v>
      </c>
      <c r="C9" s="7"/>
    </row>
    <row r="11" customFormat="false" ht="15" hidden="false" customHeight="false" outlineLevel="0" collapsed="false">
      <c r="A11" s="10" t="s">
        <v>47</v>
      </c>
    </row>
    <row r="12" customFormat="false" ht="15" hidden="false" customHeight="false" outlineLevel="0" collapsed="false">
      <c r="A12" s="2" t="s">
        <v>109</v>
      </c>
      <c r="B12" s="21" t="n">
        <f aca="false">$B$6*1.989E+030/(4/3*PI()*($B$7*Rsun)^3)</f>
        <v>1410.19822515932</v>
      </c>
      <c r="C12" s="7" t="s">
        <v>110</v>
      </c>
    </row>
    <row r="13" customFormat="false" ht="15" hidden="false" customHeight="false" outlineLevel="0" collapsed="false">
      <c r="A13" s="2" t="s">
        <v>111</v>
      </c>
      <c r="B13" s="18" t="n">
        <f aca="false">$B$12/((2/(1+$B$8))*mH)</f>
        <v>7.16264410747191E+029</v>
      </c>
      <c r="C13" s="7" t="s">
        <v>112</v>
      </c>
    </row>
    <row r="14" customFormat="false" ht="15" hidden="false" customHeight="false" outlineLevel="0" collapsed="false">
      <c r="A14" s="2" t="s">
        <v>113</v>
      </c>
      <c r="B14" s="13" t="n">
        <f aca="false">1/($B$13*sigT)</f>
        <v>0.0209867138096517</v>
      </c>
      <c r="C14" s="7" t="s">
        <v>114</v>
      </c>
    </row>
    <row r="15" customFormat="false" ht="15" hidden="false" customHeight="false" outlineLevel="0" collapsed="false">
      <c r="A15" s="2" t="s">
        <v>115</v>
      </c>
      <c r="B15" s="18" t="n">
        <f aca="false">$B$7*Rsun/$B$14</f>
        <v>33149544340.7653</v>
      </c>
      <c r="C15" s="7"/>
    </row>
    <row r="16" customFormat="false" ht="15" hidden="false" customHeight="false" outlineLevel="0" collapsed="false">
      <c r="A16" s="2" t="s">
        <v>116</v>
      </c>
      <c r="B16" s="18" t="n">
        <f aca="false">$B$15^2</f>
        <v>1.09889229000037E+021</v>
      </c>
      <c r="C16" s="7"/>
    </row>
    <row r="17" customFormat="false" ht="15" hidden="false" customHeight="false" outlineLevel="0" collapsed="false">
      <c r="A17" s="2" t="s">
        <v>117</v>
      </c>
      <c r="B17" s="24" t="n">
        <f aca="false">($B$7*Rsun)^2/($B$14*cL)/yr</f>
        <v>2437.66990981398</v>
      </c>
      <c r="C17" s="7" t="s">
        <v>118</v>
      </c>
    </row>
    <row r="18" customFormat="false" ht="15" hidden="false" customHeight="false" outlineLevel="0" collapsed="false">
      <c r="A18" s="2" t="s">
        <v>119</v>
      </c>
      <c r="B18" s="25" t="n">
        <f aca="false">$B$7*Rsun/cL</f>
        <v>2.32060541029354</v>
      </c>
      <c r="C18" s="7" t="s">
        <v>120</v>
      </c>
    </row>
    <row r="19" customFormat="false" ht="15" hidden="false" customHeight="false" outlineLevel="0" collapsed="false">
      <c r="A19" s="2" t="s">
        <v>121</v>
      </c>
      <c r="B19" s="21" t="n">
        <f aca="false">1/SQRT($B$9)</f>
        <v>31.6227766016838</v>
      </c>
      <c r="C19" s="7"/>
    </row>
    <row r="20" customFormat="false" ht="15" hidden="false" customHeight="false" outlineLevel="0" collapsed="false">
      <c r="A20" s="2" t="s">
        <v>122</v>
      </c>
      <c r="B20" s="24" t="n">
        <f aca="false">1/$B$9</f>
        <v>1000</v>
      </c>
      <c r="C20" s="7"/>
    </row>
    <row r="22" customFormat="false" ht="35.05" hidden="false" customHeight="false" outlineLevel="0" collapsed="false">
      <c r="E22" s="15" t="s">
        <v>123</v>
      </c>
      <c r="F22" s="15" t="s">
        <v>124</v>
      </c>
      <c r="G22" s="15" t="s">
        <v>125</v>
      </c>
    </row>
    <row r="23" customFormat="false" ht="15" hidden="false" customHeight="false" outlineLevel="0" collapsed="false">
      <c r="E23" s="20" t="n">
        <v>1</v>
      </c>
      <c r="F23" s="26" t="n">
        <f aca="false">E23^2</f>
        <v>1</v>
      </c>
      <c r="G23" s="17" t="n">
        <f aca="false">MIN(1,EXP(-E23*SQRT(3*$B$9)))</f>
        <v>0.946700729050898</v>
      </c>
    </row>
    <row r="24" customFormat="false" ht="15" hidden="false" customHeight="false" outlineLevel="0" collapsed="false">
      <c r="E24" s="20" t="n">
        <v>2</v>
      </c>
      <c r="F24" s="26" t="n">
        <f aca="false">E24^2</f>
        <v>4</v>
      </c>
      <c r="G24" s="17" t="n">
        <f aca="false">MIN(1,EXP(-E24*SQRT(3*$B$9)))</f>
        <v>0.896242270385501</v>
      </c>
    </row>
    <row r="25" customFormat="false" ht="15" hidden="false" customHeight="false" outlineLevel="0" collapsed="false">
      <c r="E25" s="20" t="n">
        <v>3</v>
      </c>
      <c r="F25" s="26" t="n">
        <f aca="false">E25^2</f>
        <v>9</v>
      </c>
      <c r="G25" s="17" t="n">
        <f aca="false">MIN(1,EXP(-E25*SQRT(3*$B$9)))</f>
        <v>0.848473210780185</v>
      </c>
    </row>
    <row r="26" customFormat="false" ht="15" hidden="false" customHeight="false" outlineLevel="0" collapsed="false">
      <c r="E26" s="20" t="n">
        <v>4</v>
      </c>
      <c r="F26" s="26" t="n">
        <f aca="false">E26^2</f>
        <v>16</v>
      </c>
      <c r="G26" s="17" t="n">
        <f aca="false">MIN(1,EXP(-E26*SQRT(3*$B$9)))</f>
        <v>0.803250207225757</v>
      </c>
    </row>
    <row r="27" customFormat="false" ht="15" hidden="false" customHeight="false" outlineLevel="0" collapsed="false">
      <c r="E27" s="20" t="n">
        <v>5</v>
      </c>
      <c r="F27" s="26" t="n">
        <f aca="false">E27^2</f>
        <v>25</v>
      </c>
      <c r="G27" s="17" t="n">
        <f aca="false">MIN(1,EXP(-E27*SQRT(3*$B$9)))</f>
        <v>0.760437556790909</v>
      </c>
    </row>
    <row r="28" customFormat="false" ht="15" hidden="false" customHeight="false" outlineLevel="0" collapsed="false">
      <c r="E28" s="20" t="n">
        <v>6</v>
      </c>
      <c r="F28" s="26" t="n">
        <f aca="false">E28^2</f>
        <v>36</v>
      </c>
      <c r="G28" s="17" t="n">
        <f aca="false">MIN(1,EXP(-E28*SQRT(3*$B$9)))</f>
        <v>0.719906789411637</v>
      </c>
    </row>
    <row r="29" customFormat="false" ht="15" hidden="false" customHeight="false" outlineLevel="0" collapsed="false">
      <c r="E29" s="20" t="n">
        <v>7</v>
      </c>
      <c r="F29" s="26" t="n">
        <f aca="false">E29^2</f>
        <v>49</v>
      </c>
      <c r="G29" s="17" t="n">
        <f aca="false">MIN(1,EXP(-E29*SQRT(3*$B$9)))</f>
        <v>0.681536282384687</v>
      </c>
    </row>
    <row r="30" customFormat="false" ht="15" hidden="false" customHeight="false" outlineLevel="0" collapsed="false">
      <c r="E30" s="20" t="n">
        <v>8</v>
      </c>
      <c r="F30" s="26" t="n">
        <f aca="false">E30^2</f>
        <v>64</v>
      </c>
      <c r="G30" s="17" t="n">
        <f aca="false">MIN(1,EXP(-E30*SQRT(3*$B$9)))</f>
        <v>0.645210895408222</v>
      </c>
    </row>
    <row r="31" customFormat="false" ht="15" hidden="false" customHeight="false" outlineLevel="0" collapsed="false">
      <c r="E31" s="20" t="n">
        <v>9</v>
      </c>
      <c r="F31" s="26" t="n">
        <f aca="false">E31^2</f>
        <v>81</v>
      </c>
      <c r="G31" s="17" t="n">
        <f aca="false">MIN(1,EXP(-E31*SQRT(3*$B$9)))</f>
        <v>0.610821625074546</v>
      </c>
    </row>
    <row r="32" customFormat="false" ht="15" hidden="false" customHeight="false" outlineLevel="0" collapsed="false">
      <c r="E32" s="20" t="n">
        <v>10</v>
      </c>
      <c r="F32" s="26" t="n">
        <f aca="false">E32^2</f>
        <v>100</v>
      </c>
      <c r="G32" s="17" t="n">
        <f aca="false">MIN(1,EXP(-E32*SQRT(3*$B$9)))</f>
        <v>0.578265277778127</v>
      </c>
    </row>
    <row r="33" customFormat="false" ht="15" hidden="false" customHeight="false" outlineLevel="0" collapsed="false">
      <c r="E33" s="20" t="n">
        <v>11</v>
      </c>
      <c r="F33" s="26" t="n">
        <f aca="false">E33^2</f>
        <v>121</v>
      </c>
      <c r="G33" s="17" t="n">
        <f aca="false">MIN(1,EXP(-E33*SQRT(3*$B$9)))</f>
        <v>0.547444160057372</v>
      </c>
    </row>
    <row r="34" customFormat="false" ht="15" hidden="false" customHeight="false" outlineLevel="0" collapsed="false">
      <c r="E34" s="20" t="n">
        <v>12</v>
      </c>
      <c r="F34" s="26" t="n">
        <f aca="false">E34^2</f>
        <v>144</v>
      </c>
      <c r="G34" s="17" t="n">
        <f aca="false">MIN(1,EXP(-E34*SQRT(3*$B$9)))</f>
        <v>0.518265785440971</v>
      </c>
    </row>
    <row r="35" customFormat="false" ht="15" hidden="false" customHeight="false" outlineLevel="0" collapsed="false">
      <c r="E35" s="20" t="n">
        <v>13</v>
      </c>
      <c r="F35" s="26" t="n">
        <f aca="false">E35^2</f>
        <v>169</v>
      </c>
      <c r="G35" s="17" t="n">
        <f aca="false">MIN(1,EXP(-E35*SQRT(3*$B$9)))</f>
        <v>0.490642596919103</v>
      </c>
    </row>
    <row r="36" customFormat="false" ht="15" hidden="false" customHeight="false" outlineLevel="0" collapsed="false">
      <c r="E36" s="20" t="n">
        <v>14</v>
      </c>
      <c r="F36" s="26" t="n">
        <f aca="false">E36^2</f>
        <v>196</v>
      </c>
      <c r="G36" s="17" t="n">
        <f aca="false">MIN(1,EXP(-E36*SQRT(3*$B$9)))</f>
        <v>0.46449170420674</v>
      </c>
    </row>
    <row r="37" customFormat="false" ht="15" hidden="false" customHeight="false" outlineLevel="0" collapsed="false">
      <c r="E37" s="20" t="n">
        <v>15</v>
      </c>
      <c r="F37" s="26" t="n">
        <f aca="false">E37^2</f>
        <v>225</v>
      </c>
      <c r="G37" s="17" t="n">
        <f aca="false">MIN(1,EXP(-E37*SQRT(3*$B$9)))</f>
        <v>0.439734635010615</v>
      </c>
    </row>
    <row r="38" customFormat="false" ht="15" hidden="false" customHeight="false" outlineLevel="0" collapsed="false">
      <c r="E38" s="20" t="n">
        <v>16</v>
      </c>
      <c r="F38" s="26" t="n">
        <f aca="false">E38^2</f>
        <v>256</v>
      </c>
      <c r="G38" s="17" t="n">
        <f aca="false">MIN(1,EXP(-E38*SQRT(3*$B$9)))</f>
        <v>0.41629709955348</v>
      </c>
    </row>
    <row r="39" customFormat="false" ht="15" hidden="false" customHeight="false" outlineLevel="0" collapsed="false">
      <c r="E39" s="20" t="n">
        <v>17</v>
      </c>
      <c r="F39" s="26" t="n">
        <f aca="false">E39^2</f>
        <v>289</v>
      </c>
      <c r="G39" s="17" t="n">
        <f aca="false">MIN(1,EXP(-E39*SQRT(3*$B$9)))</f>
        <v>0.394108767649053</v>
      </c>
    </row>
    <row r="40" customFormat="false" ht="15" hidden="false" customHeight="false" outlineLevel="0" collapsed="false">
      <c r="E40" s="20" t="n">
        <v>18</v>
      </c>
      <c r="F40" s="26" t="n">
        <f aca="false">E40^2</f>
        <v>324</v>
      </c>
      <c r="G40" s="17" t="n">
        <f aca="false">MIN(1,EXP(-E40*SQRT(3*$B$9)))</f>
        <v>0.373103057658709</v>
      </c>
    </row>
    <row r="41" customFormat="false" ht="15" hidden="false" customHeight="false" outlineLevel="0" collapsed="false">
      <c r="E41" s="20" t="n">
        <v>19</v>
      </c>
      <c r="F41" s="26" t="n">
        <f aca="false">E41^2</f>
        <v>361</v>
      </c>
      <c r="G41" s="17" t="n">
        <f aca="false">MIN(1,EXP(-E41*SQRT(3*$B$9)))</f>
        <v>0.353216936696619</v>
      </c>
    </row>
    <row r="42" customFormat="false" ht="15" hidden="false" customHeight="false" outlineLevel="0" collapsed="false">
      <c r="E42" s="20" t="n">
        <v>20</v>
      </c>
      <c r="F42" s="26" t="n">
        <f aca="false">E42^2</f>
        <v>400</v>
      </c>
      <c r="G42" s="17" t="n">
        <f aca="false">MIN(1,EXP(-E42*SQRT(3*$B$9)))</f>
        <v>0.334390731483814</v>
      </c>
    </row>
    <row r="43" customFormat="false" ht="15" hidden="false" customHeight="false" outlineLevel="0" collapsed="false">
      <c r="E43" s="20" t="n">
        <v>21</v>
      </c>
      <c r="F43" s="26" t="n">
        <f aca="false">E43^2</f>
        <v>441</v>
      </c>
      <c r="G43" s="17" t="n">
        <f aca="false">MIN(1,EXP(-E43*SQRT(3*$B$9)))</f>
        <v>0.31656794928359</v>
      </c>
    </row>
    <row r="44" customFormat="false" ht="15" hidden="false" customHeight="false" outlineLevel="0" collapsed="false">
      <c r="E44" s="20" t="n">
        <v>22</v>
      </c>
      <c r="F44" s="26" t="n">
        <f aca="false">E44^2</f>
        <v>484</v>
      </c>
      <c r="G44" s="17" t="n">
        <f aca="false">MIN(1,EXP(-E44*SQRT(3*$B$9)))</f>
        <v>0.299695108380922</v>
      </c>
    </row>
    <row r="45" customFormat="false" ht="15" hidden="false" customHeight="false" outlineLevel="0" collapsed="false">
      <c r="E45" s="20" t="n">
        <v>23</v>
      </c>
      <c r="F45" s="26" t="n">
        <f aca="false">E45^2</f>
        <v>529</v>
      </c>
      <c r="G45" s="17" t="n">
        <f aca="false">MIN(1,EXP(-E45*SQRT(3*$B$9)))</f>
        <v>0.283721577597207</v>
      </c>
    </row>
    <row r="46" customFormat="false" ht="15" hidden="false" customHeight="false" outlineLevel="0" collapsed="false">
      <c r="E46" s="20" t="n">
        <v>24</v>
      </c>
      <c r="F46" s="26" t="n">
        <f aca="false">E46^2</f>
        <v>576</v>
      </c>
      <c r="G46" s="17" t="n">
        <f aca="false">MIN(1,EXP(-E46*SQRT(3*$B$9)))</f>
        <v>0.268599424358746</v>
      </c>
    </row>
    <row r="47" customFormat="false" ht="15" hidden="false" customHeight="false" outlineLevel="0" collapsed="false">
      <c r="E47" s="20" t="n">
        <v>25</v>
      </c>
      <c r="F47" s="26" t="n">
        <f aca="false">E47^2</f>
        <v>625</v>
      </c>
      <c r="G47" s="17" t="n">
        <f aca="false">MIN(1,EXP(-E47*SQRT(3*$B$9)))</f>
        <v>0.254283270863077</v>
      </c>
    </row>
    <row r="48" customFormat="false" ht="15" hidden="false" customHeight="false" outlineLevel="0" collapsed="false">
      <c r="E48" s="20" t="n">
        <v>26</v>
      </c>
      <c r="F48" s="26" t="n">
        <f aca="false">E48^2</f>
        <v>676</v>
      </c>
      <c r="G48" s="17" t="n">
        <f aca="false">MIN(1,EXP(-E48*SQRT(3*$B$9)))</f>
        <v>0.240730157911521</v>
      </c>
    </row>
    <row r="49" customFormat="false" ht="15" hidden="false" customHeight="false" outlineLevel="0" collapsed="false">
      <c r="E49" s="20" t="n">
        <v>27</v>
      </c>
      <c r="F49" s="26" t="n">
        <f aca="false">E49^2</f>
        <v>729</v>
      </c>
      <c r="G49" s="17" t="n">
        <f aca="false">MIN(1,EXP(-E49*SQRT(3*$B$9)))</f>
        <v>0.227899415999375</v>
      </c>
    </row>
    <row r="50" customFormat="false" ht="15" hidden="false" customHeight="false" outlineLevel="0" collapsed="false">
      <c r="E50" s="20" t="n">
        <v>28</v>
      </c>
      <c r="F50" s="26" t="n">
        <f aca="false">E50^2</f>
        <v>784</v>
      </c>
      <c r="G50" s="17" t="n">
        <f aca="false">MIN(1,EXP(-E50*SQRT(3*$B$9)))</f>
        <v>0.215752543276882</v>
      </c>
    </row>
    <row r="51" customFormat="false" ht="15" hidden="false" customHeight="false" outlineLevel="0" collapsed="false">
      <c r="E51" s="20" t="n">
        <v>29</v>
      </c>
      <c r="F51" s="26" t="n">
        <f aca="false">E51^2</f>
        <v>841</v>
      </c>
      <c r="G51" s="17" t="n">
        <f aca="false">MIN(1,EXP(-E51*SQRT(3*$B$9)))</f>
        <v>0.20425309001481</v>
      </c>
    </row>
    <row r="52" customFormat="false" ht="15" hidden="false" customHeight="false" outlineLevel="0" collapsed="false">
      <c r="E52" s="20" t="n">
        <v>30</v>
      </c>
      <c r="F52" s="26" t="n">
        <f aca="false">E52^2</f>
        <v>900</v>
      </c>
      <c r="G52" s="17" t="n">
        <f aca="false">MIN(1,EXP(-E52*SQRT(3*$B$9)))</f>
        <v>0.193366549227919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  <col collapsed="false" customWidth="true" hidden="false" outlineLevel="0" max="14" min="13" style="0" width="6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8" t="s">
        <v>126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9" t="s">
        <v>128</v>
      </c>
    </row>
    <row r="5" customFormat="false" ht="23.85" hidden="false" customHeight="false" outlineLevel="0" collapsed="false">
      <c r="A5" s="10" t="s">
        <v>129</v>
      </c>
      <c r="M5" s="15" t="s">
        <v>130</v>
      </c>
      <c r="N5" s="15" t="s">
        <v>131</v>
      </c>
      <c r="O5" s="15" t="s">
        <v>132</v>
      </c>
      <c r="P5" s="15" t="s">
        <v>133</v>
      </c>
    </row>
    <row r="6" customFormat="false" ht="15" hidden="false" customHeight="false" outlineLevel="0" collapsed="false">
      <c r="A6" s="2" t="s">
        <v>134</v>
      </c>
      <c r="B6" s="11" t="n">
        <v>2.2</v>
      </c>
      <c r="C6" s="7"/>
      <c r="M6" s="20" t="n">
        <v>2</v>
      </c>
      <c r="N6" s="20" t="n">
        <v>3</v>
      </c>
      <c r="O6" s="16" t="n">
        <v>656.467</v>
      </c>
      <c r="P6" s="17" t="n">
        <v>1</v>
      </c>
    </row>
    <row r="7" customFormat="false" ht="15" hidden="false" customHeight="false" outlineLevel="0" collapsed="false">
      <c r="A7" s="2" t="s">
        <v>135</v>
      </c>
      <c r="B7" s="11" t="n">
        <v>1.5</v>
      </c>
      <c r="C7" s="7"/>
      <c r="M7" s="20" t="n">
        <v>2</v>
      </c>
      <c r="N7" s="20" t="n">
        <v>4</v>
      </c>
      <c r="O7" s="16" t="n">
        <v>486.272</v>
      </c>
      <c r="P7" s="17" t="n">
        <v>0.42188</v>
      </c>
    </row>
    <row r="8" customFormat="false" ht="15" hidden="false" customHeight="false" outlineLevel="0" collapsed="false">
      <c r="A8" s="2" t="s">
        <v>136</v>
      </c>
      <c r="B8" s="13" t="n">
        <f aca="false">$B$6*EXP(-$B$7)+(1-EXP(-$B$7))</f>
        <v>1.26775619217812</v>
      </c>
      <c r="C8" s="7"/>
      <c r="M8" s="20" t="n">
        <v>2</v>
      </c>
      <c r="N8" s="20" t="n">
        <v>5</v>
      </c>
      <c r="O8" s="16" t="n">
        <v>434.171</v>
      </c>
      <c r="P8" s="17" t="n">
        <v>0.216</v>
      </c>
    </row>
    <row r="9" customFormat="false" ht="15" hidden="false" customHeight="false" outlineLevel="0" collapsed="false">
      <c r="M9" s="20" t="n">
        <v>2</v>
      </c>
      <c r="N9" s="20" t="n">
        <v>6</v>
      </c>
      <c r="O9" s="16" t="n">
        <v>410.292</v>
      </c>
      <c r="P9" s="17" t="n">
        <v>0.125</v>
      </c>
    </row>
    <row r="10" customFormat="false" ht="15" hidden="false" customHeight="false" outlineLevel="0" collapsed="false">
      <c r="A10" s="10" t="s">
        <v>137</v>
      </c>
      <c r="M10" s="20" t="n">
        <v>2</v>
      </c>
      <c r="N10" s="20" t="n">
        <v>7</v>
      </c>
      <c r="O10" s="16" t="n">
        <v>397.122</v>
      </c>
      <c r="P10" s="17" t="n">
        <v>0.07872</v>
      </c>
    </row>
    <row r="11" customFormat="false" ht="15" hidden="false" customHeight="false" outlineLevel="0" collapsed="false">
      <c r="A11" s="2" t="s">
        <v>138</v>
      </c>
      <c r="B11" s="11" t="n">
        <v>6500</v>
      </c>
      <c r="C11" s="7" t="s">
        <v>60</v>
      </c>
      <c r="M11" s="20" t="n">
        <v>2</v>
      </c>
      <c r="N11" s="20" t="n">
        <v>8</v>
      </c>
      <c r="O11" s="16" t="n">
        <v>389.018</v>
      </c>
      <c r="P11" s="17" t="n">
        <v>0.05273</v>
      </c>
    </row>
    <row r="12" customFormat="false" ht="15" hidden="false" customHeight="false" outlineLevel="0" collapsed="false">
      <c r="A12" s="2" t="s">
        <v>139</v>
      </c>
      <c r="B12" s="11" t="n">
        <v>4500</v>
      </c>
      <c r="C12" s="7" t="s">
        <v>60</v>
      </c>
      <c r="M12" s="20" t="n">
        <v>2</v>
      </c>
      <c r="N12" s="20" t="n">
        <v>9</v>
      </c>
      <c r="O12" s="16" t="n">
        <v>383.65</v>
      </c>
      <c r="P12" s="17" t="n">
        <v>0.03704</v>
      </c>
    </row>
    <row r="13" customFormat="false" ht="15" hidden="false" customHeight="false" outlineLevel="0" collapsed="false">
      <c r="A13" s="2" t="s">
        <v>140</v>
      </c>
      <c r="B13" s="11" t="n">
        <v>2</v>
      </c>
      <c r="C13" s="7"/>
      <c r="M13" s="20" t="n">
        <v>2</v>
      </c>
      <c r="N13" s="20" t="n">
        <v>10</v>
      </c>
      <c r="O13" s="16" t="n">
        <v>379.9</v>
      </c>
      <c r="P13" s="17" t="n">
        <v>0.027</v>
      </c>
    </row>
    <row r="14" customFormat="false" ht="15" hidden="false" customHeight="false" outlineLevel="0" collapsed="false">
      <c r="A14" s="2" t="s">
        <v>141</v>
      </c>
      <c r="B14" s="11" t="n">
        <v>0.02</v>
      </c>
      <c r="C14" s="7"/>
      <c r="M14" s="20" t="n">
        <v>2</v>
      </c>
      <c r="N14" s="20" t="n">
        <v>11</v>
      </c>
      <c r="O14" s="16" t="n">
        <v>377.172</v>
      </c>
      <c r="P14" s="17" t="n">
        <v>0.02029</v>
      </c>
    </row>
    <row r="15" customFormat="false" ht="15" hidden="false" customHeight="false" outlineLevel="0" collapsed="false">
      <c r="A15" s="2" t="s">
        <v>142</v>
      </c>
      <c r="B15" s="11" t="n">
        <v>1</v>
      </c>
      <c r="C15" s="7"/>
      <c r="M15" s="20" t="n">
        <v>2</v>
      </c>
      <c r="N15" s="20" t="n">
        <v>12</v>
      </c>
      <c r="O15" s="16" t="n">
        <v>375.124</v>
      </c>
      <c r="P15" s="17" t="n">
        <v>0.01562</v>
      </c>
    </row>
    <row r="16" customFormat="false" ht="15" hidden="false" customHeight="false" outlineLevel="0" collapsed="false">
      <c r="M16" s="20" t="n">
        <v>2</v>
      </c>
      <c r="N16" s="20" t="n">
        <v>13</v>
      </c>
      <c r="O16" s="16" t="n">
        <v>373.545</v>
      </c>
      <c r="P16" s="17" t="n">
        <v>0.01229</v>
      </c>
    </row>
    <row r="17" customFormat="false" ht="15" hidden="false" customHeight="false" outlineLevel="0" collapsed="false">
      <c r="A17" s="10" t="s">
        <v>143</v>
      </c>
      <c r="M17" s="20" t="n">
        <v>3</v>
      </c>
      <c r="N17" s="20" t="n">
        <v>4</v>
      </c>
      <c r="O17" s="16" t="n">
        <v>1875.62</v>
      </c>
      <c r="P17" s="17" t="n">
        <v>0.6</v>
      </c>
    </row>
    <row r="18" customFormat="false" ht="15" hidden="false" customHeight="false" outlineLevel="0" collapsed="false">
      <c r="A18" s="2" t="s">
        <v>144</v>
      </c>
      <c r="B18" s="12" t="n">
        <f aca="false">$B$14+$B$13*SUMPRODUCT($P$6:$P$27,EXP(0-((656.47-$O$6:$O$27)/1.2)^2))</f>
        <v>2.01998750003906</v>
      </c>
      <c r="C18" s="7"/>
      <c r="M18" s="20" t="n">
        <v>3</v>
      </c>
      <c r="N18" s="20" t="n">
        <v>5</v>
      </c>
      <c r="O18" s="16" t="n">
        <v>1282.162</v>
      </c>
      <c r="P18" s="17" t="n">
        <v>0.3072</v>
      </c>
    </row>
    <row r="19" customFormat="false" ht="15" hidden="false" customHeight="false" outlineLevel="0" collapsed="false">
      <c r="A19" s="2" t="s">
        <v>145</v>
      </c>
      <c r="B19" s="18" t="n">
        <f aca="false">$B$15*(2*hP*cL^2/(0.00000065647)^5/(EXP(hP*cL/(0.00000065647*kB*$B$11))-1))*EXP(-$B$14)+(2*hP*cL^2/(0.00000065647)^5/(EXP(hP*cL/(0.00000065647*kB*$B$12))-1))*(1-EXP(-$B$14))</f>
        <v>34188094257432.2</v>
      </c>
      <c r="C19" s="7" t="s">
        <v>93</v>
      </c>
      <c r="M19" s="20" t="n">
        <v>3</v>
      </c>
      <c r="N19" s="20" t="n">
        <v>6</v>
      </c>
      <c r="O19" s="16" t="n">
        <v>1094.112</v>
      </c>
      <c r="P19" s="17" t="n">
        <v>0.17778</v>
      </c>
    </row>
    <row r="20" customFormat="false" ht="15" hidden="false" customHeight="false" outlineLevel="0" collapsed="false">
      <c r="A20" s="2" t="s">
        <v>146</v>
      </c>
      <c r="B20" s="18" t="n">
        <f aca="false">$B$15*(2*hP*cL^2/(0.00000065647)^5/(EXP(hP*cL/(0.00000065647*kB*$B$11))-1))*EXP(-$B$18)+(2*hP*cL^2/(0.00000065647)^5/(EXP(hP*cL/(0.00000065647*kB*$B$12))-1))*(1-EXP(-$B$18))</f>
        <v>11155949625583</v>
      </c>
      <c r="C20" s="7" t="s">
        <v>93</v>
      </c>
      <c r="M20" s="20" t="n">
        <v>3</v>
      </c>
      <c r="N20" s="20" t="n">
        <v>7</v>
      </c>
      <c r="O20" s="16" t="n">
        <v>1005.215</v>
      </c>
      <c r="P20" s="17" t="n">
        <v>0.11195</v>
      </c>
    </row>
    <row r="21" customFormat="false" ht="15" hidden="false" customHeight="false" outlineLevel="0" collapsed="false">
      <c r="A21" s="2" t="s">
        <v>147</v>
      </c>
      <c r="B21" s="12" t="n">
        <f aca="false">1-$B$20/$B$19</f>
        <v>0.673689046789797</v>
      </c>
      <c r="C21" s="7" t="s">
        <v>148</v>
      </c>
      <c r="M21" s="20" t="n">
        <v>3</v>
      </c>
      <c r="N21" s="20" t="n">
        <v>8</v>
      </c>
      <c r="O21" s="16" t="n">
        <v>954.861</v>
      </c>
      <c r="P21" s="17" t="n">
        <v>0.075</v>
      </c>
    </row>
    <row r="22" customFormat="false" ht="15" hidden="false" customHeight="false" outlineLevel="0" collapsed="false">
      <c r="A22" s="2" t="s">
        <v>149</v>
      </c>
      <c r="B22" s="14" t="str">
        <f aca="false">IF($B$20&lt;$B$19,"absorption line","emission line")</f>
        <v>absorption line</v>
      </c>
      <c r="C22" s="7"/>
      <c r="M22" s="20" t="n">
        <v>3</v>
      </c>
      <c r="N22" s="20" t="n">
        <v>9</v>
      </c>
      <c r="O22" s="16" t="n">
        <v>923.157</v>
      </c>
      <c r="P22" s="17" t="n">
        <v>0.05267</v>
      </c>
    </row>
    <row r="23" customFormat="false" ht="15" hidden="false" customHeight="false" outlineLevel="0" collapsed="false">
      <c r="M23" s="20" t="n">
        <v>3</v>
      </c>
      <c r="N23" s="20" t="n">
        <v>10</v>
      </c>
      <c r="O23" s="16" t="n">
        <v>901.741</v>
      </c>
      <c r="P23" s="17" t="n">
        <v>0.0384</v>
      </c>
    </row>
    <row r="24" customFormat="false" ht="15" hidden="false" customHeight="false" outlineLevel="0" collapsed="false">
      <c r="M24" s="20" t="n">
        <v>3</v>
      </c>
      <c r="N24" s="20" t="n">
        <v>11</v>
      </c>
      <c r="O24" s="16" t="n">
        <v>886.524</v>
      </c>
      <c r="P24" s="17" t="n">
        <v>0.02885</v>
      </c>
    </row>
    <row r="25" customFormat="false" ht="23.85" hidden="false" customHeight="false" outlineLevel="0" collapsed="false">
      <c r="E25" s="15" t="s">
        <v>150</v>
      </c>
      <c r="F25" s="15" t="s">
        <v>151</v>
      </c>
      <c r="G25" s="15" t="s">
        <v>152</v>
      </c>
      <c r="H25" s="15" t="s">
        <v>95</v>
      </c>
      <c r="I25" s="15" t="s">
        <v>153</v>
      </c>
      <c r="J25" s="15" t="s">
        <v>154</v>
      </c>
      <c r="K25" s="15" t="s">
        <v>155</v>
      </c>
      <c r="L25" s="15" t="s">
        <v>156</v>
      </c>
      <c r="M25" s="20" t="n">
        <v>3</v>
      </c>
      <c r="N25" s="20" t="n">
        <v>12</v>
      </c>
      <c r="O25" s="16" t="n">
        <v>875.289</v>
      </c>
      <c r="P25" s="17" t="n">
        <v>0.02222</v>
      </c>
    </row>
    <row r="26" customFormat="false" ht="15" hidden="false" customHeight="false" outlineLevel="0" collapsed="false">
      <c r="E26" s="16" t="n">
        <f aca="false">6*0/30</f>
        <v>0</v>
      </c>
      <c r="F26" s="17" t="n">
        <f aca="false">$B$6*EXP(-E26)+(1-EXP(-E26))</f>
        <v>2.2</v>
      </c>
      <c r="G26" s="20" t="n">
        <f aca="false">1</f>
        <v>1</v>
      </c>
      <c r="H26" s="20" t="n">
        <v>360</v>
      </c>
      <c r="I26" s="27" t="n">
        <f aca="false">$B$14+$B$13*SUMPRODUCT($P$6:$P$27,EXP(0-((H26-$O$6:$O$27)/1.2)^2))</f>
        <v>0.02</v>
      </c>
      <c r="J26" s="16" t="n">
        <f aca="false">($B$15*(2*hP*cL^2/(H26*0.000000001)^5/(EXP(hP*cL/(H26*0.000000001*kB*$B$11))-1))*EXP(-I26)+(2*hP*cL^2/(H26*0.000000001)^5/(EXP(hP*cL/(H26*0.000000001*kB*$B$12))-1))*(1-EXP(-I26)))/1000000000000</f>
        <v>41.3919256742774</v>
      </c>
      <c r="K26" s="16" t="n">
        <f aca="false">$B$15*(2*hP*cL^2/(H26*0.000000001)^5/(EXP(hP*cL/(H26*0.000000001*kB*$B$11))-1))/1000000000000</f>
        <v>42.172796267147</v>
      </c>
      <c r="L26" s="16" t="n">
        <f aca="false">(2*hP*cL^2/(H26*0.000000001)^5/(EXP(hP*cL/(H26*0.000000001*kB*$B$12))-1))/1000000000000</f>
        <v>2.73752988492471</v>
      </c>
      <c r="M26" s="20" t="n">
        <v>3</v>
      </c>
      <c r="N26" s="20" t="n">
        <v>13</v>
      </c>
      <c r="O26" s="16" t="n">
        <v>866.742</v>
      </c>
      <c r="P26" s="17" t="n">
        <v>0.01748</v>
      </c>
    </row>
    <row r="27" customFormat="false" ht="15" hidden="false" customHeight="false" outlineLevel="0" collapsed="false">
      <c r="E27" s="16" t="n">
        <f aca="false">6*1/30</f>
        <v>0.2</v>
      </c>
      <c r="F27" s="17" t="n">
        <f aca="false">$B$6*EXP(-E27)+(1-EXP(-E27))</f>
        <v>1.98247690369358</v>
      </c>
      <c r="G27" s="20" t="n">
        <f aca="false">1</f>
        <v>1</v>
      </c>
      <c r="H27" s="20" t="n">
        <v>362</v>
      </c>
      <c r="I27" s="27" t="n">
        <f aca="false">$B$14+$B$13*SUMPRODUCT($P$6:$P$27,EXP(0-((H27-$O$6:$O$27)/1.2)^2))</f>
        <v>0.02</v>
      </c>
      <c r="J27" s="16" t="n">
        <f aca="false">($B$15*(2*hP*cL^2/(H27*0.000000001)^5/(EXP(hP*cL/(H27*0.000000001*kB*$B$11))-1))*EXP(-I27)+(2*hP*cL^2/(H27*0.000000001)^5/(EXP(hP*cL/(H27*0.000000001*kB*$B$12))-1))*(1-EXP(-I27)))/1000000000000</f>
        <v>41.6561499237572</v>
      </c>
      <c r="K27" s="16" t="n">
        <f aca="false">$B$15*(2*hP*cL^2/(H27*0.000000001)^5/(EXP(hP*cL/(H27*0.000000001*kB*$B$11))-1))/1000000000000</f>
        <v>42.4411634431796</v>
      </c>
      <c r="L27" s="16" t="n">
        <f aca="false">(2*hP*cL^2/(H27*0.000000001)^5/(EXP(hP*cL/(H27*0.000000001*kB*$B$12))-1))/1000000000000</f>
        <v>2.79667236520407</v>
      </c>
      <c r="M27" s="20" t="n">
        <v>3</v>
      </c>
      <c r="N27" s="20" t="n">
        <v>14</v>
      </c>
      <c r="O27" s="16" t="n">
        <v>860.077</v>
      </c>
      <c r="P27" s="17" t="n">
        <v>0.01399</v>
      </c>
    </row>
    <row r="28" customFormat="false" ht="15" hidden="false" customHeight="false" outlineLevel="0" collapsed="false">
      <c r="E28" s="16" t="n">
        <f aca="false">6*2/30</f>
        <v>0.4</v>
      </c>
      <c r="F28" s="17" t="n">
        <f aca="false">$B$6*EXP(-E28)+(1-EXP(-E28))</f>
        <v>1.80438405524277</v>
      </c>
      <c r="G28" s="20" t="n">
        <f aca="false">1</f>
        <v>1</v>
      </c>
      <c r="H28" s="20" t="n">
        <v>364</v>
      </c>
      <c r="I28" s="27" t="n">
        <f aca="false">$B$14+$B$13*SUMPRODUCT($P$6:$P$27,EXP(0-((H28-$O$6:$O$27)/1.2)^2))</f>
        <v>0.02</v>
      </c>
      <c r="J28" s="16" t="n">
        <f aca="false">($B$15*(2*hP*cL^2/(H28*0.000000001)^5/(EXP(hP*cL/(H28*0.000000001*kB*$B$11))-1))*EXP(-I28)+(2*hP*cL^2/(H28*0.000000001)^5/(EXP(hP*cL/(H28*0.000000001*kB*$B$12))-1))*(1-EXP(-I28)))/1000000000000</f>
        <v>41.9128852756556</v>
      </c>
      <c r="K28" s="16" t="n">
        <f aca="false">$B$15*(2*hP*cL^2/(H28*0.000000001)^5/(EXP(hP*cL/(H28*0.000000001*kB*$B$11))-1))/1000000000000</f>
        <v>42.7018869168409</v>
      </c>
      <c r="L28" s="16" t="n">
        <f aca="false">(2*hP*cL^2/(H28*0.000000001)^5/(EXP(hP*cL/(H28*0.000000001*kB*$B$12))-1))/1000000000000</f>
        <v>2.85598904301349</v>
      </c>
    </row>
    <row r="29" customFormat="false" ht="15" hidden="false" customHeight="false" outlineLevel="0" collapsed="false">
      <c r="E29" s="16" t="n">
        <f aca="false">6*3/30</f>
        <v>0.6</v>
      </c>
      <c r="F29" s="17" t="n">
        <f aca="false">$B$6*EXP(-E29)+(1-EXP(-E29))</f>
        <v>1.65857396331283</v>
      </c>
      <c r="G29" s="20" t="n">
        <f aca="false">1</f>
        <v>1</v>
      </c>
      <c r="H29" s="20" t="n">
        <v>366</v>
      </c>
      <c r="I29" s="27" t="n">
        <f aca="false">$B$14+$B$13*SUMPRODUCT($P$6:$P$27,EXP(0-((H29-$O$6:$O$27)/1.2)^2))</f>
        <v>0.02</v>
      </c>
      <c r="J29" s="16" t="n">
        <f aca="false">($B$15*(2*hP*cL^2/(H29*0.000000001)^5/(EXP(hP*cL/(H29*0.000000001*kB*$B$11))-1))*EXP(-I29)+(2*hP*cL^2/(H29*0.000000001)^5/(EXP(hP*cL/(H29*0.000000001*kB*$B$12))-1))*(1-EXP(-I29)))/1000000000000</f>
        <v>42.16216091735</v>
      </c>
      <c r="K29" s="16" t="n">
        <f aca="false">$B$15*(2*hP*cL^2/(H29*0.000000001)^5/(EXP(hP*cL/(H29*0.000000001*kB*$B$11))-1))/1000000000000</f>
        <v>42.9549969034639</v>
      </c>
      <c r="L29" s="16" t="n">
        <f aca="false">(2*hP*cL^2/(H29*0.000000001)^5/(EXP(hP*cL/(H29*0.000000001*kB*$B$12))-1))/1000000000000</f>
        <v>2.91545822020844</v>
      </c>
    </row>
    <row r="30" customFormat="false" ht="15" hidden="false" customHeight="false" outlineLevel="0" collapsed="false">
      <c r="E30" s="16" t="n">
        <f aca="false">6*4/30</f>
        <v>0.8</v>
      </c>
      <c r="F30" s="17" t="n">
        <f aca="false">$B$6*EXP(-E30)+(1-EXP(-E30))</f>
        <v>1.53919475694067</v>
      </c>
      <c r="G30" s="20" t="n">
        <f aca="false">1</f>
        <v>1</v>
      </c>
      <c r="H30" s="20" t="n">
        <v>368</v>
      </c>
      <c r="I30" s="27" t="n">
        <f aca="false">$B$14+$B$13*SUMPRODUCT($P$6:$P$27,EXP(0-((H30-$O$6:$O$27)/1.2)^2))</f>
        <v>0.0200000000131064</v>
      </c>
      <c r="J30" s="16" t="n">
        <f aca="false">($B$15*(2*hP*cL^2/(H30*0.000000001)^5/(EXP(hP*cL/(H30*0.000000001*kB*$B$11))-1))*EXP(-I30)+(2*hP*cL^2/(H30*0.000000001)^5/(EXP(hP*cL/(H30*0.000000001*kB*$B$12))-1))*(1-EXP(-I30)))/1000000000000</f>
        <v>42.4040099277473</v>
      </c>
      <c r="K30" s="16" t="n">
        <f aca="false">$B$15*(2*hP*cL^2/(H30*0.000000001)^5/(EXP(hP*cL/(H30*0.000000001*kB*$B$11))-1))/1000000000000</f>
        <v>43.2005275856235</v>
      </c>
      <c r="L30" s="16" t="n">
        <f aca="false">(2*hP*cL^2/(H30*0.000000001)^5/(EXP(hP*cL/(H30*0.000000001*kB*$B$12))-1))/1000000000000</f>
        <v>2.975058368392</v>
      </c>
    </row>
    <row r="31" customFormat="false" ht="15" hidden="false" customHeight="false" outlineLevel="0" collapsed="false">
      <c r="E31" s="16" t="n">
        <f aca="false">6*5/30</f>
        <v>1</v>
      </c>
      <c r="F31" s="17" t="n">
        <f aca="false">$B$6*EXP(-E31)+(1-EXP(-E31))</f>
        <v>1.44145532940573</v>
      </c>
      <c r="G31" s="20" t="n">
        <f aca="false">1</f>
        <v>1</v>
      </c>
      <c r="H31" s="20" t="n">
        <v>370</v>
      </c>
      <c r="I31" s="27" t="n">
        <f aca="false">$B$14+$B$13*SUMPRODUCT($P$6:$P$27,EXP(0-((H31-$O$6:$O$27)/1.2)^2))</f>
        <v>0.0200039855776873</v>
      </c>
      <c r="J31" s="16" t="n">
        <f aca="false">($B$15*(2*hP*cL^2/(H31*0.000000001)^5/(EXP(hP*cL/(H31*0.000000001*kB*$B$11))-1))*EXP(-I31)+(2*hP*cL^2/(H31*0.000000001)^5/(EXP(hP*cL/(H31*0.000000001*kB*$B$12))-1))*(1-EXP(-I31)))/1000000000000</f>
        <v>42.6383112585247</v>
      </c>
      <c r="K31" s="16" t="n">
        <f aca="false">$B$15*(2*hP*cL^2/(H31*0.000000001)^5/(EXP(hP*cL/(H31*0.000000001*kB*$B$11))-1))/1000000000000</f>
        <v>43.4385169311734</v>
      </c>
      <c r="L31" s="16" t="n">
        <f aca="false">(2*hP*cL^2/(H31*0.000000001)^5/(EXP(hP*cL/(H31*0.000000001*kB*$B$12))-1))/1000000000000</f>
        <v>3.03476814552692</v>
      </c>
    </row>
    <row r="32" customFormat="false" ht="15" hidden="false" customHeight="false" outlineLevel="0" collapsed="false">
      <c r="E32" s="16" t="n">
        <f aca="false">6*6/30</f>
        <v>1.2</v>
      </c>
      <c r="F32" s="17" t="n">
        <f aca="false">$B$6*EXP(-E32)+(1-EXP(-E32))</f>
        <v>1.36143305429464</v>
      </c>
      <c r="G32" s="20" t="n">
        <f aca="false">1</f>
        <v>1</v>
      </c>
      <c r="H32" s="20" t="n">
        <v>372</v>
      </c>
      <c r="I32" s="27" t="n">
        <f aca="false">$B$14+$B$13*SUMPRODUCT($P$6:$P$27,EXP(0-((H32-$O$6:$O$27)/1.2)^2))</f>
        <v>0.0247201747305518</v>
      </c>
      <c r="J32" s="16" t="n">
        <f aca="false">($B$15*(2*hP*cL^2/(H32*0.000000001)^5/(EXP(hP*cL/(H32*0.000000001*kB*$B$11))-1))*EXP(-I32)+(2*hP*cL^2/(H32*0.000000001)^5/(EXP(hP*cL/(H32*0.000000001*kB*$B$12))-1))*(1-EXP(-I32)))/1000000000000</f>
        <v>42.6782949973745</v>
      </c>
      <c r="K32" s="16" t="n">
        <f aca="false">$B$15*(2*hP*cL^2/(H32*0.000000001)^5/(EXP(hP*cL/(H32*0.000000001*kB*$B$11))-1))/1000000000000</f>
        <v>43.6690065150097</v>
      </c>
      <c r="L32" s="16" t="n">
        <f aca="false">(2*hP*cL^2/(H32*0.000000001)^5/(EXP(hP*cL/(H32*0.000000001*kB*$B$12))-1))/1000000000000</f>
        <v>3.09456641174114</v>
      </c>
    </row>
    <row r="33" customFormat="false" ht="15" hidden="false" customHeight="false" outlineLevel="0" collapsed="false">
      <c r="E33" s="16" t="n">
        <f aca="false">6*7/30</f>
        <v>1.4</v>
      </c>
      <c r="F33" s="17" t="n">
        <f aca="false">$B$6*EXP(-E33)+(1-EXP(-E33))</f>
        <v>1.29591635672993</v>
      </c>
      <c r="G33" s="20" t="n">
        <f aca="false">1</f>
        <v>1</v>
      </c>
      <c r="H33" s="20" t="n">
        <v>374</v>
      </c>
      <c r="I33" s="27" t="n">
        <f aca="false">$B$14+$B$13*SUMPRODUCT($P$6:$P$27,EXP(0-((H33-$O$6:$O$27)/1.2)^2))</f>
        <v>0.0543182273475963</v>
      </c>
      <c r="J33" s="16" t="n">
        <f aca="false">($B$15*(2*hP*cL^2/(H33*0.000000001)^5/(EXP(hP*cL/(H33*0.000000001*kB*$B$11))-1))*EXP(-I33)+(2*hP*cL^2/(H33*0.000000001)^5/(EXP(hP*cL/(H33*0.000000001*kB*$B$12))-1))*(1-EXP(-I33)))/1000000000000</f>
        <v>41.7382706616633</v>
      </c>
      <c r="K33" s="16" t="n">
        <f aca="false">$B$15*(2*hP*cL^2/(H33*0.000000001)^5/(EXP(hP*cL/(H33*0.000000001*kB*$B$11))-1))/1000000000000</f>
        <v>43.8920413446537</v>
      </c>
      <c r="L33" s="16" t="n">
        <f aca="false">(2*hP*cL^2/(H33*0.000000001)^5/(EXP(hP*cL/(H33*0.000000001*kB*$B$12))-1))/1000000000000</f>
        <v>3.15443224433469</v>
      </c>
    </row>
    <row r="34" customFormat="false" ht="15" hidden="false" customHeight="false" outlineLevel="0" collapsed="false">
      <c r="E34" s="16" t="n">
        <f aca="false">6*8/30</f>
        <v>1.6</v>
      </c>
      <c r="F34" s="17" t="n">
        <f aca="false">$B$6*EXP(-E34)+(1-EXP(-E34))</f>
        <v>1.24227582159359</v>
      </c>
      <c r="G34" s="20" t="n">
        <f aca="false">1</f>
        <v>1</v>
      </c>
      <c r="H34" s="20" t="n">
        <v>376</v>
      </c>
      <c r="I34" s="27" t="n">
        <f aca="false">$B$14+$B$13*SUMPRODUCT($P$6:$P$27,EXP(0-((H34-$O$6:$O$27)/1.2)^2))</f>
        <v>0.0543433785041721</v>
      </c>
      <c r="J34" s="16" t="n">
        <f aca="false">($B$15*(2*hP*cL^2/(H34*0.000000001)^5/(EXP(hP*cL/(H34*0.000000001*kB*$B$11))-1))*EXP(-I34)+(2*hP*cL^2/(H34*0.000000001)^5/(EXP(hP*cL/(H34*0.000000001*kB*$B$12))-1))*(1-EXP(-I34)))/1000000000000</f>
        <v>41.9446922978097</v>
      </c>
      <c r="K34" s="16" t="n">
        <f aca="false">$B$15*(2*hP*cL^2/(H34*0.000000001)^5/(EXP(hP*cL/(H34*0.000000001*kB*$B$11))-1))/1000000000000</f>
        <v>44.1076696897338</v>
      </c>
      <c r="L34" s="16" t="n">
        <f aca="false">(2*hP*cL^2/(H34*0.000000001)^5/(EXP(hP*cL/(H34*0.000000001*kB*$B$12))-1))/1000000000000</f>
        <v>3.21434495199737</v>
      </c>
    </row>
    <row r="35" customFormat="false" ht="15" hidden="false" customHeight="false" outlineLevel="0" collapsed="false">
      <c r="E35" s="16" t="n">
        <f aca="false">6*9/30</f>
        <v>1.8</v>
      </c>
      <c r="F35" s="17" t="n">
        <f aca="false">$B$6*EXP(-E35)+(1-EXP(-E35))</f>
        <v>1.1983586658659</v>
      </c>
      <c r="G35" s="20" t="n">
        <f aca="false">1</f>
        <v>1</v>
      </c>
      <c r="H35" s="20" t="n">
        <v>378</v>
      </c>
      <c r="I35" s="27" t="n">
        <f aca="false">$B$14+$B$13*SUMPRODUCT($P$6:$P$27,EXP(0-((H35-$O$6:$O$27)/1.2)^2))</f>
        <v>0.049710318587029</v>
      </c>
      <c r="J35" s="16" t="n">
        <f aca="false">($B$15*(2*hP*cL^2/(H35*0.000000001)^5/(EXP(hP*cL/(H35*0.000000001*kB*$B$11))-1))*EXP(-I35)+(2*hP*cL^2/(H35*0.000000001)^5/(EXP(hP*cL/(H35*0.000000001*kB*$B$12))-1))*(1-EXP(-I35)))/1000000000000</f>
        <v>42.325628405241</v>
      </c>
      <c r="K35" s="16" t="n">
        <f aca="false">$B$15*(2*hP*cL^2/(H35*0.000000001)^5/(EXP(hP*cL/(H35*0.000000001*kB*$B$11))-1))/1000000000000</f>
        <v>44.3159429154328</v>
      </c>
      <c r="L35" s="16" t="n">
        <f aca="false">(2*hP*cL^2/(H35*0.000000001)^5/(EXP(hP*cL/(H35*0.000000001*kB*$B$12))-1))/1000000000000</f>
        <v>3.27428408824768</v>
      </c>
    </row>
    <row r="36" customFormat="false" ht="15" hidden="false" customHeight="false" outlineLevel="0" collapsed="false">
      <c r="E36" s="16" t="n">
        <f aca="false">6*10/30</f>
        <v>2</v>
      </c>
      <c r="F36" s="17" t="n">
        <f aca="false">$B$6*EXP(-E36)+(1-EXP(-E36))</f>
        <v>1.16240233988394</v>
      </c>
      <c r="G36" s="20" t="n">
        <f aca="false">1</f>
        <v>1</v>
      </c>
      <c r="H36" s="20" t="n">
        <v>380</v>
      </c>
      <c r="I36" s="27" t="n">
        <f aca="false">$B$14+$B$13*SUMPRODUCT($P$6:$P$27,EXP(0-((H36-$O$6:$O$27)/1.2)^2))</f>
        <v>0.0737905512533886</v>
      </c>
      <c r="J36" s="16" t="n">
        <f aca="false">($B$15*(2*hP*cL^2/(H36*0.000000001)^5/(EXP(hP*cL/(H36*0.000000001*kB*$B$11))-1))*EXP(-I36)+(2*hP*cL^2/(H36*0.000000001)^5/(EXP(hP*cL/(H36*0.000000001*kB*$B$12))-1))*(1-EXP(-I36)))/1000000000000</f>
        <v>41.5874353418117</v>
      </c>
      <c r="K36" s="16" t="n">
        <f aca="false">$B$15*(2*hP*cL^2/(H36*0.000000001)^5/(EXP(hP*cL/(H36*0.000000001*kB*$B$11))-1))/1000000000000</f>
        <v>44.5169153199529</v>
      </c>
      <c r="L36" s="16" t="n">
        <f aca="false">(2*hP*cL^2/(H36*0.000000001)^5/(EXP(hP*cL/(H36*0.000000001*kB*$B$12))-1))/1000000000000</f>
        <v>3.3342294641046</v>
      </c>
    </row>
    <row r="37" customFormat="false" ht="15" hidden="false" customHeight="false" outlineLevel="0" collapsed="false">
      <c r="E37" s="16" t="n">
        <f aca="false">6*11/30</f>
        <v>2.2</v>
      </c>
      <c r="F37" s="17" t="n">
        <f aca="false">$B$6*EXP(-E37)+(1-EXP(-E37))</f>
        <v>1.1329637900348</v>
      </c>
      <c r="G37" s="20" t="n">
        <f aca="false">1</f>
        <v>1</v>
      </c>
      <c r="H37" s="20" t="n">
        <v>382</v>
      </c>
      <c r="I37" s="27" t="n">
        <f aca="false">$B$14+$B$13*SUMPRODUCT($P$6:$P$27,EXP(0-((H37-$O$6:$O$27)/1.2)^2))</f>
        <v>0.0337100245549511</v>
      </c>
      <c r="J37" s="16" t="n">
        <f aca="false">($B$15*(2*hP*cL^2/(H37*0.000000001)^5/(EXP(hP*cL/(H37*0.000000001*kB*$B$11))-1))*EXP(-I37)+(2*hP*cL^2/(H37*0.000000001)^5/(EXP(hP*cL/(H37*0.000000001*kB*$B$12))-1))*(1-EXP(-I37)))/1000000000000</f>
        <v>43.3410780675147</v>
      </c>
      <c r="K37" s="16" t="n">
        <f aca="false">$B$15*(2*hP*cL^2/(H37*0.000000001)^5/(EXP(hP*cL/(H37*0.000000001*kB*$B$11))-1))/1000000000000</f>
        <v>44.7106439760374</v>
      </c>
      <c r="L37" s="16" t="n">
        <f aca="false">(2*hP*cL^2/(H37*0.000000001)^5/(EXP(hP*cL/(H37*0.000000001*kB*$B$12))-1))/1000000000000</f>
        <v>3.39416116000503</v>
      </c>
    </row>
    <row r="38" customFormat="false" ht="15" hidden="false" customHeight="false" outlineLevel="0" collapsed="false">
      <c r="E38" s="16" t="n">
        <f aca="false">6*12/30</f>
        <v>2.4</v>
      </c>
      <c r="F38" s="17" t="n">
        <f aca="false">$B$6*EXP(-E38)+(1-EXP(-E38))</f>
        <v>1.1088615439473</v>
      </c>
      <c r="G38" s="20" t="n">
        <f aca="false">1</f>
        <v>1</v>
      </c>
      <c r="H38" s="20" t="n">
        <v>384</v>
      </c>
      <c r="I38" s="27" t="n">
        <f aca="false">$B$14+$B$13*SUMPRODUCT($P$6:$P$27,EXP(0-((H38-$O$6:$O$27)/1.2)^2))</f>
        <v>0.088039127483888</v>
      </c>
      <c r="J38" s="16" t="n">
        <f aca="false">($B$15*(2*hP*cL^2/(H38*0.000000001)^5/(EXP(hP*cL/(H38*0.000000001*kB*$B$11))-1))*EXP(-I38)+(2*hP*cL^2/(H38*0.000000001)^5/(EXP(hP*cL/(H38*0.000000001*kB*$B$12))-1))*(1-EXP(-I38)))/1000000000000</f>
        <v>41.4045707833749</v>
      </c>
      <c r="K38" s="16" t="n">
        <f aca="false">$B$15*(2*hP*cL^2/(H38*0.000000001)^5/(EXP(hP*cL/(H38*0.000000001*kB*$B$11))-1))/1000000000000</f>
        <v>44.897188576581</v>
      </c>
      <c r="L38" s="16" t="n">
        <f aca="false">(2*hP*cL^2/(H38*0.000000001)^5/(EXP(hP*cL/(H38*0.000000001*kB*$B$12))-1))/1000000000000</f>
        <v>3.4540595369803</v>
      </c>
    </row>
    <row r="39" customFormat="false" ht="15" hidden="false" customHeight="false" outlineLevel="0" collapsed="false">
      <c r="E39" s="16" t="n">
        <f aca="false">6*13/30</f>
        <v>2.6</v>
      </c>
      <c r="F39" s="17" t="n">
        <f aca="false">$B$6*EXP(-E39)+(1-EXP(-E39))</f>
        <v>1.0891282938572</v>
      </c>
      <c r="G39" s="20" t="n">
        <f aca="false">1</f>
        <v>1</v>
      </c>
      <c r="H39" s="20" t="n">
        <v>386</v>
      </c>
      <c r="I39" s="27" t="n">
        <f aca="false">$B$14+$B$13*SUMPRODUCT($P$6:$P$27,EXP(0-((H39-$O$6:$O$27)/1.2)^2))</f>
        <v>0.021788948839787</v>
      </c>
      <c r="J39" s="16" t="n">
        <f aca="false">($B$15*(2*hP*cL^2/(H39*0.000000001)^5/(EXP(hP*cL/(H39*0.000000001*kB*$B$11))-1))*EXP(-I39)+(2*hP*cL^2/(H39*0.000000001)^5/(EXP(hP*cL/(H39*0.000000001*kB*$B$12))-1))*(1-EXP(-I39)))/1000000000000</f>
        <v>44.180798459692</v>
      </c>
      <c r="K39" s="16" t="n">
        <f aca="false">$B$15*(2*hP*cL^2/(H39*0.000000001)^5/(EXP(hP*cL/(H39*0.000000001*kB*$B$11))-1))/1000000000000</f>
        <v>45.0766112843439</v>
      </c>
      <c r="L39" s="16" t="n">
        <f aca="false">(2*hP*cL^2/(H39*0.000000001)^5/(EXP(hP*cL/(H39*0.000000001*kB*$B$12))-1))/1000000000000</f>
        <v>3.51390524710621</v>
      </c>
    </row>
    <row r="40" customFormat="false" ht="15" hidden="false" customHeight="false" outlineLevel="0" collapsed="false">
      <c r="E40" s="16" t="n">
        <f aca="false">6*14/30</f>
        <v>2.8</v>
      </c>
      <c r="F40" s="17" t="n">
        <f aca="false">$B$6*EXP(-E40)+(1-EXP(-E40))</f>
        <v>1.07297207515026</v>
      </c>
      <c r="G40" s="20" t="n">
        <f aca="false">1</f>
        <v>1</v>
      </c>
      <c r="H40" s="20" t="n">
        <v>388</v>
      </c>
      <c r="I40" s="27" t="n">
        <f aca="false">$B$14+$B$13*SUMPRODUCT($P$6:$P$27,EXP(0-((H40-$O$6:$O$27)/1.2)^2))</f>
        <v>0.0713500095701929</v>
      </c>
      <c r="J40" s="16" t="n">
        <f aca="false">($B$15*(2*hP*cL^2/(H40*0.000000001)^5/(EXP(hP*cL/(H40*0.000000001*kB*$B$11))-1))*EXP(-I40)+(2*hP*cL^2/(H40*0.000000001)^5/(EXP(hP*cL/(H40*0.000000001*kB*$B$12))-1))*(1-EXP(-I40)))/1000000000000</f>
        <v>42.3790459339508</v>
      </c>
      <c r="K40" s="16" t="n">
        <f aca="false">$B$15*(2*hP*cL^2/(H40*0.000000001)^5/(EXP(hP*cL/(H40*0.000000001*kB*$B$11))-1))/1000000000000</f>
        <v>45.248976585781</v>
      </c>
      <c r="L40" s="16" t="n">
        <f aca="false">(2*hP*cL^2/(H40*0.000000001)^5/(EXP(hP*cL/(H40*0.000000001*kB*$B$12))-1))/1000000000000</f>
        <v>3.57367924324172</v>
      </c>
    </row>
    <row r="41" customFormat="false" ht="15" hidden="false" customHeight="false" outlineLevel="0" collapsed="false">
      <c r="E41" s="16" t="n">
        <f aca="false">6*15/30</f>
        <v>3</v>
      </c>
      <c r="F41" s="17" t="n">
        <f aca="false">$B$6*EXP(-E41)+(1-EXP(-E41))</f>
        <v>1.05974448204144</v>
      </c>
      <c r="G41" s="20" t="n">
        <f aca="false">1</f>
        <v>1</v>
      </c>
      <c r="H41" s="20" t="n">
        <v>390</v>
      </c>
      <c r="I41" s="27" t="n">
        <f aca="false">$B$14+$B$13*SUMPRODUCT($P$6:$P$27,EXP(0-((H41-$O$6:$O$27)/1.2)^2))</f>
        <v>0.0739826279220468</v>
      </c>
      <c r="J41" s="16" t="n">
        <f aca="false">($B$15*(2*hP*cL^2/(H41*0.000000001)^5/(EXP(hP*cL/(H41*0.000000001*kB*$B$11))-1))*EXP(-I41)+(2*hP*cL^2/(H41*0.000000001)^5/(EXP(hP*cL/(H41*0.000000001*kB*$B$12))-1))*(1-EXP(-I41)))/1000000000000</f>
        <v>42.4348580763102</v>
      </c>
      <c r="K41" s="16" t="n">
        <f aca="false">$B$15*(2*hP*cL^2/(H41*0.000000001)^5/(EXP(hP*cL/(H41*0.000000001*kB*$B$11))-1))/1000000000000</f>
        <v>45.4143511489851</v>
      </c>
      <c r="L41" s="16" t="n">
        <f aca="false">(2*hP*cL^2/(H41*0.000000001)^5/(EXP(hP*cL/(H41*0.000000001*kB*$B$12))-1))/1000000000000</f>
        <v>3.63336278807212</v>
      </c>
    </row>
    <row r="42" customFormat="false" ht="15" hidden="false" customHeight="false" outlineLevel="0" collapsed="false">
      <c r="E42" s="16" t="n">
        <f aca="false">6*16/30</f>
        <v>3.2</v>
      </c>
      <c r="F42" s="17" t="n">
        <f aca="false">$B$6*EXP(-E42)+(1-EXP(-E42))</f>
        <v>1.04891464477404</v>
      </c>
      <c r="G42" s="20" t="n">
        <f aca="false">1</f>
        <v>1</v>
      </c>
      <c r="H42" s="20" t="n">
        <v>392</v>
      </c>
      <c r="I42" s="27" t="n">
        <f aca="false">$B$14+$B$13*SUMPRODUCT($P$6:$P$27,EXP(0-((H42-$O$6:$O$27)/1.2)^2))</f>
        <v>0.0202193943500533</v>
      </c>
      <c r="J42" s="16" t="n">
        <f aca="false">($B$15*(2*hP*cL^2/(H42*0.000000001)^5/(EXP(hP*cL/(H42*0.000000001*kB*$B$11))-1))*EXP(-I42)+(2*hP*cL^2/(H42*0.000000001)^5/(EXP(hP*cL/(H42*0.000000001*kB*$B$12))-1))*(1-EXP(-I42)))/1000000000000</f>
        <v>44.7345214933066</v>
      </c>
      <c r="K42" s="16" t="n">
        <f aca="false">$B$15*(2*hP*cL^2/(H42*0.000000001)^5/(EXP(hP*cL/(H42*0.000000001*kB*$B$11))-1))/1000000000000</f>
        <v>45.572803685734</v>
      </c>
      <c r="L42" s="16" t="n">
        <f aca="false">(2*hP*cL^2/(H42*0.000000001)^5/(EXP(hP*cL/(H42*0.000000001*kB*$B$12))-1))/1000000000000</f>
        <v>3.69293746247287</v>
      </c>
    </row>
    <row r="43" customFormat="false" ht="15" hidden="false" customHeight="false" outlineLevel="0" collapsed="false">
      <c r="E43" s="16" t="n">
        <f aca="false">6*17/30</f>
        <v>3.4</v>
      </c>
      <c r="F43" s="17" t="n">
        <f aca="false">$B$6*EXP(-E43)+(1-EXP(-E43))</f>
        <v>1.04004792395239</v>
      </c>
      <c r="G43" s="20" t="n">
        <f aca="false">1</f>
        <v>1</v>
      </c>
      <c r="H43" s="20" t="n">
        <v>394</v>
      </c>
      <c r="I43" s="27" t="n">
        <f aca="false">$B$14+$B$13*SUMPRODUCT($P$6:$P$27,EXP(0-((H43-$O$6:$O$27)/1.2)^2))</f>
        <v>0.0201809370749989</v>
      </c>
      <c r="J43" s="16" t="n">
        <f aca="false">($B$15*(2*hP*cL^2/(H43*0.000000001)^5/(EXP(hP*cL/(H43*0.000000001*kB*$B$11))-1))*EXP(-I43)+(2*hP*cL^2/(H43*0.000000001)^5/(EXP(hP*cL/(H43*0.000000001*kB*$B$12))-1))*(1-EXP(-I43)))/1000000000000</f>
        <v>44.8858599007127</v>
      </c>
      <c r="K43" s="16" t="n">
        <f aca="false">$B$15*(2*hP*cL^2/(H43*0.000000001)^5/(EXP(hP*cL/(H43*0.000000001*kB*$B$11))-1))/1000000000000</f>
        <v>45.7244048176279</v>
      </c>
      <c r="L43" s="16" t="n">
        <f aca="false">(2*hP*cL^2/(H43*0.000000001)^5/(EXP(hP*cL/(H43*0.000000001*kB*$B$12))-1))/1000000000000</f>
        <v>3.75238517321107</v>
      </c>
    </row>
    <row r="44" customFormat="false" ht="15" hidden="false" customHeight="false" outlineLevel="0" collapsed="false">
      <c r="E44" s="16" t="n">
        <f aca="false">6*18/30</f>
        <v>3.6</v>
      </c>
      <c r="F44" s="17" t="n">
        <f aca="false">$B$6*EXP(-E44)+(1-EXP(-E44))</f>
        <v>1.03278846693675</v>
      </c>
      <c r="G44" s="20" t="n">
        <f aca="false">1</f>
        <v>1</v>
      </c>
      <c r="H44" s="20" t="n">
        <v>396</v>
      </c>
      <c r="I44" s="27" t="n">
        <f aca="false">$B$14+$B$13*SUMPRODUCT($P$6:$P$27,EXP(0-((H44-$O$6:$O$27)/1.2)^2))</f>
        <v>0.0856816399292054</v>
      </c>
      <c r="J44" s="16" t="n">
        <f aca="false">($B$15*(2*hP*cL^2/(H44*0.000000001)^5/(EXP(hP*cL/(H44*0.000000001*kB*$B$11))-1))*EXP(-I44)+(2*hP*cL^2/(H44*0.000000001)^5/(EXP(hP*cL/(H44*0.000000001*kB*$B$12))-1))*(1-EXP(-I44)))/1000000000000</f>
        <v>42.4157311593682</v>
      </c>
      <c r="K44" s="16" t="n">
        <f aca="false">$B$15*(2*hP*cL^2/(H44*0.000000001)^5/(EXP(hP*cL/(H44*0.000000001*kB*$B$11))-1))/1000000000000</f>
        <v>45.8692269462913</v>
      </c>
      <c r="L44" s="16" t="n">
        <f aca="false">(2*hP*cL^2/(H44*0.000000001)^5/(EXP(hP*cL/(H44*0.000000001*kB*$B$12))-1))/1000000000000</f>
        <v>3.81168816000169</v>
      </c>
    </row>
    <row r="45" customFormat="false" ht="15" hidden="false" customHeight="false" outlineLevel="0" collapsed="false">
      <c r="E45" s="16" t="n">
        <f aca="false">6*19/30</f>
        <v>3.8</v>
      </c>
      <c r="F45" s="17" t="n">
        <f aca="false">$B$6*EXP(-E45)+(1-EXP(-E45))</f>
        <v>1.0268449262274</v>
      </c>
      <c r="G45" s="20" t="n">
        <f aca="false">1</f>
        <v>1</v>
      </c>
      <c r="H45" s="20" t="n">
        <v>398</v>
      </c>
      <c r="I45" s="27" t="n">
        <f aca="false">$B$14+$B$13*SUMPRODUCT($P$6:$P$27,EXP(0-((H45-$O$6:$O$27)/1.2)^2))</f>
        <v>0.112176786191152</v>
      </c>
      <c r="J45" s="16" t="n">
        <f aca="false">($B$15*(2*hP*cL^2/(H45*0.000000001)^5/(EXP(hP*cL/(H45*0.000000001*kB*$B$11))-1))*EXP(-I45)+(2*hP*cL^2/(H45*0.000000001)^5/(EXP(hP*cL/(H45*0.000000001*kB*$B$12))-1))*(1-EXP(-I45)))/1000000000000</f>
        <v>41.5360790964015</v>
      </c>
      <c r="K45" s="16" t="n">
        <f aca="false">$B$15*(2*hP*cL^2/(H45*0.000000001)^5/(EXP(hP*cL/(H45*0.000000001*kB*$B$11))-1))/1000000000000</f>
        <v>46.0073441276101</v>
      </c>
      <c r="L45" s="16" t="n">
        <f aca="false">(2*hP*cL^2/(H45*0.000000001)^5/(EXP(hP*cL/(H45*0.000000001*kB*$B$12))-1))/1000000000000</f>
        <v>3.87082900193627</v>
      </c>
    </row>
    <row r="46" customFormat="false" ht="15" hidden="false" customHeight="false" outlineLevel="0" collapsed="false">
      <c r="E46" s="16" t="n">
        <f aca="false">6*20/30</f>
        <v>4</v>
      </c>
      <c r="F46" s="17" t="n">
        <f aca="false">$B$6*EXP(-E46)+(1-EXP(-E46))</f>
        <v>1.02197876666648</v>
      </c>
      <c r="G46" s="20" t="n">
        <f aca="false">1</f>
        <v>1</v>
      </c>
      <c r="H46" s="20" t="n">
        <v>400</v>
      </c>
      <c r="I46" s="27" t="n">
        <f aca="false">$B$14+$B$13*SUMPRODUCT($P$6:$P$27,EXP(0-((H46-$O$6:$O$27)/1.2)^2))</f>
        <v>0.0205000944269584</v>
      </c>
      <c r="J46" s="16" t="n">
        <f aca="false">($B$15*(2*hP*cL^2/(H46*0.000000001)^5/(EXP(hP*cL/(H46*0.000000001*kB*$B$11))-1))*EXP(-I46)+(2*hP*cL^2/(H46*0.000000001)^5/(EXP(hP*cL/(H46*0.000000001*kB*$B$12))-1))*(1-EXP(-I46)))/1000000000000</f>
        <v>45.2823515760933</v>
      </c>
      <c r="K46" s="16" t="n">
        <f aca="false">$B$15*(2*hP*cL^2/(H46*0.000000001)^5/(EXP(hP*cL/(H46*0.000000001*kB*$B$11))-1))/1000000000000</f>
        <v>46.138831949969</v>
      </c>
      <c r="L46" s="16" t="n">
        <f aca="false">(2*hP*cL^2/(H46*0.000000001)^5/(EXP(hP*cL/(H46*0.000000001*kB*$B$12))-1))/1000000000000</f>
        <v>3.92979062330176</v>
      </c>
    </row>
    <row r="47" customFormat="false" ht="15" hidden="false" customHeight="false" outlineLevel="0" collapsed="false">
      <c r="E47" s="16" t="n">
        <f aca="false">6*21/30</f>
        <v>4.2</v>
      </c>
      <c r="F47" s="17" t="n">
        <f aca="false">$B$6*EXP(-E47)+(1-EXP(-E47))</f>
        <v>1.01799469218457</v>
      </c>
      <c r="G47" s="20" t="n">
        <f aca="false">1</f>
        <v>1</v>
      </c>
      <c r="H47" s="20" t="n">
        <v>402</v>
      </c>
      <c r="I47" s="27" t="n">
        <f aca="false">$B$14+$B$13*SUMPRODUCT($P$6:$P$27,EXP(0-((H47-$O$6:$O$27)/1.2)^2))</f>
        <v>0.0200000104890304</v>
      </c>
      <c r="J47" s="16" t="n">
        <f aca="false">($B$15*(2*hP*cL^2/(H47*0.000000001)^5/(EXP(hP*cL/(H47*0.000000001*kB*$B$11))-1))*EXP(-I47)+(2*hP*cL^2/(H47*0.000000001)^5/(EXP(hP*cL/(H47*0.000000001*kB*$B$12))-1))*(1-EXP(-I47)))/1000000000000</f>
        <v>45.4266617154349</v>
      </c>
      <c r="K47" s="16" t="n">
        <f aca="false">$B$15*(2*hP*cL^2/(H47*0.000000001)^5/(EXP(hP*cL/(H47*0.000000001*kB*$B$11))-1))/1000000000000</f>
        <v>46.2637674164467</v>
      </c>
      <c r="L47" s="16" t="n">
        <f aca="false">(2*hP*cL^2/(H47*0.000000001)^5/(EXP(hP*cL/(H47*0.000000001*kB*$B$12))-1))/1000000000000</f>
        <v>3.98855629880781</v>
      </c>
    </row>
    <row r="48" customFormat="false" ht="15" hidden="false" customHeight="false" outlineLevel="0" collapsed="false">
      <c r="E48" s="16" t="n">
        <f aca="false">6*22/30</f>
        <v>4.4</v>
      </c>
      <c r="F48" s="17" t="n">
        <f aca="false">$B$6*EXP(-E48)+(1-EXP(-E48))</f>
        <v>1.01473280788368</v>
      </c>
      <c r="G48" s="20" t="n">
        <f aca="false">1</f>
        <v>1</v>
      </c>
      <c r="H48" s="20" t="n">
        <v>404</v>
      </c>
      <c r="I48" s="27" t="n">
        <f aca="false">$B$14+$B$13*SUMPRODUCT($P$6:$P$27,EXP(0-((H48-$O$6:$O$27)/1.2)^2))</f>
        <v>0.020000000000288</v>
      </c>
      <c r="J48" s="16" t="n">
        <f aca="false">($B$15*(2*hP*cL^2/(H48*0.000000001)^5/(EXP(hP*cL/(H48*0.000000001*kB*$B$11))-1))*EXP(-I48)+(2*hP*cL^2/(H48*0.000000001)^5/(EXP(hP*cL/(H48*0.000000001*kB*$B$12))-1))*(1-EXP(-I48)))/1000000000000</f>
        <v>45.5439373055755</v>
      </c>
      <c r="K48" s="16" t="n">
        <f aca="false">$B$15*(2*hP*cL^2/(H48*0.000000001)^5/(EXP(hP*cL/(H48*0.000000001*kB*$B$11))-1))/1000000000000</f>
        <v>46.3822288309231</v>
      </c>
      <c r="L48" s="16" t="n">
        <f aca="false">(2*hP*cL^2/(H48*0.000000001)^5/(EXP(hP*cL/(H48*0.000000001*kB*$B$12))-1))/1000000000000</f>
        <v>4.04710965824051</v>
      </c>
    </row>
    <row r="49" customFormat="false" ht="15" hidden="false" customHeight="false" outlineLevel="0" collapsed="false">
      <c r="E49" s="16" t="n">
        <f aca="false">6*23/30</f>
        <v>4.6</v>
      </c>
      <c r="F49" s="17" t="n">
        <f aca="false">$B$6*EXP(-E49)+(1-EXP(-E49))</f>
        <v>1.01206220289356</v>
      </c>
      <c r="G49" s="20" t="n">
        <f aca="false">1</f>
        <v>1</v>
      </c>
      <c r="H49" s="20" t="n">
        <v>406</v>
      </c>
      <c r="I49" s="27" t="n">
        <f aca="false">$B$14+$B$13*SUMPRODUCT($P$6:$P$27,EXP(0-((H49-$O$6:$O$27)/1.2)^2))</f>
        <v>0.0200006953581464</v>
      </c>
      <c r="J49" s="16" t="n">
        <f aca="false">($B$15*(2*hP*cL^2/(H49*0.000000001)^5/(EXP(hP*cL/(H49*0.000000001*kB*$B$11))-1))*EXP(-I49)+(2*hP*cL^2/(H49*0.000000001)^5/(EXP(hP*cL/(H49*0.000000001*kB*$B$12))-1))*(1-EXP(-I49)))/1000000000000</f>
        <v>45.6549111115064</v>
      </c>
      <c r="K49" s="16" t="n">
        <f aca="false">$B$15*(2*hP*cL^2/(H49*0.000000001)^5/(EXP(hP*cL/(H49*0.000000001*kB*$B$11))-1))/1000000000000</f>
        <v>46.4942956880492</v>
      </c>
      <c r="L49" s="16" t="n">
        <f aca="false">(2*hP*cL^2/(H49*0.000000001)^5/(EXP(hP*cL/(H49*0.000000001*kB*$B$12))-1))/1000000000000</f>
        <v>4.10543469056124</v>
      </c>
    </row>
    <row r="50" customFormat="false" ht="15" hidden="false" customHeight="false" outlineLevel="0" collapsed="false">
      <c r="E50" s="16" t="n">
        <f aca="false">6*24/30</f>
        <v>4.8</v>
      </c>
      <c r="F50" s="17" t="n">
        <f aca="false">$B$6*EXP(-E50)+(1-EXP(-E50))</f>
        <v>1.00987569645882</v>
      </c>
      <c r="G50" s="20" t="n">
        <f aca="false">1</f>
        <v>1</v>
      </c>
      <c r="H50" s="20" t="n">
        <v>408</v>
      </c>
      <c r="I50" s="27" t="n">
        <f aca="false">$B$14+$B$13*SUMPRODUCT($P$6:$P$27,EXP(0-((H50-$O$6:$O$27)/1.2)^2))</f>
        <v>0.0265101397167877</v>
      </c>
      <c r="J50" s="16" t="n">
        <f aca="false">($B$15*(2*hP*cL^2/(H50*0.000000001)^5/(EXP(hP*cL/(H50*0.000000001*kB*$B$11))-1))*EXP(-I50)+(2*hP*cL^2/(H50*0.000000001)^5/(EXP(hP*cL/(H50*0.000000001*kB*$B$12))-1))*(1-EXP(-I50)))/1000000000000</f>
        <v>45.4898311816951</v>
      </c>
      <c r="K50" s="16" t="n">
        <f aca="false">$B$15*(2*hP*cL^2/(H50*0.000000001)^5/(EXP(hP*cL/(H50*0.000000001*kB*$B$11))-1))/1000000000000</f>
        <v>46.6000485670228</v>
      </c>
      <c r="L50" s="16" t="n">
        <f aca="false">(2*hP*cL^2/(H50*0.000000001)^5/(EXP(hP*cL/(H50*0.000000001*kB*$B$12))-1))/1000000000000</f>
        <v>4.16351574746867</v>
      </c>
    </row>
    <row r="51" customFormat="false" ht="15" hidden="false" customHeight="false" outlineLevel="0" collapsed="false">
      <c r="E51" s="16" t="n">
        <f aca="false">6*25/30</f>
        <v>5</v>
      </c>
      <c r="F51" s="17" t="n">
        <f aca="false">$B$6*EXP(-E51)+(1-EXP(-E51))</f>
        <v>1.0080855363989</v>
      </c>
      <c r="G51" s="20" t="n">
        <f aca="false">1</f>
        <v>1</v>
      </c>
      <c r="H51" s="20" t="n">
        <v>410</v>
      </c>
      <c r="I51" s="27" t="n">
        <f aca="false">$B$14+$B$13*SUMPRODUCT($P$6:$P$27,EXP(0-((H51-$O$6:$O$27)/1.2)^2))</f>
        <v>0.255626943572344</v>
      </c>
      <c r="J51" s="16" t="n">
        <f aca="false">($B$15*(2*hP*cL^2/(H51*0.000000001)^5/(EXP(hP*cL/(H51*0.000000001*kB*$B$11))-1))*EXP(-I51)+(2*hP*cL^2/(H51*0.000000001)^5/(EXP(hP*cL/(H51*0.000000001*kB*$B$12))-1))*(1-EXP(-I51)))/1000000000000</f>
        <v>37.1177892411699</v>
      </c>
      <c r="K51" s="16" t="n">
        <f aca="false">$B$15*(2*hP*cL^2/(H51*0.000000001)^5/(EXP(hP*cL/(H51*0.000000001*kB*$B$11))-1))/1000000000000</f>
        <v>46.6995690291144</v>
      </c>
      <c r="L51" s="16" t="n">
        <f aca="false">(2*hP*cL^2/(H51*0.000000001)^5/(EXP(hP*cL/(H51*0.000000001*kB*$B$12))-1))/1000000000000</f>
        <v>4.22133754644275</v>
      </c>
    </row>
    <row r="52" customFormat="false" ht="15" hidden="false" customHeight="false" outlineLevel="0" collapsed="false">
      <c r="E52" s="16" t="n">
        <f aca="false">6*26/30</f>
        <v>5.2</v>
      </c>
      <c r="F52" s="17" t="n">
        <f aca="false">$B$6*EXP(-E52)+(1-EXP(-E52))</f>
        <v>1.00661987730491</v>
      </c>
      <c r="G52" s="20" t="n">
        <f aca="false">1</f>
        <v>1</v>
      </c>
      <c r="H52" s="20" t="n">
        <v>412</v>
      </c>
      <c r="I52" s="27" t="n">
        <f aca="false">$B$14+$B$13*SUMPRODUCT($P$6:$P$27,EXP(0-((H52-$O$6:$O$27)/1.2)^2))</f>
        <v>0.0529695081902034</v>
      </c>
      <c r="J52" s="16" t="n">
        <f aca="false">($B$15*(2*hP*cL^2/(H52*0.000000001)^5/(EXP(hP*cL/(H52*0.000000001*kB*$B$11))-1))*EXP(-I52)+(2*hP*cL^2/(H52*0.000000001)^5/(EXP(hP*cL/(H52*0.000000001*kB*$B$12))-1))*(1-EXP(-I52)))/1000000000000</f>
        <v>44.5995939968747</v>
      </c>
      <c r="K52" s="16" t="n">
        <f aca="false">$B$15*(2*hP*cL^2/(H52*0.000000001)^5/(EXP(hP*cL/(H52*0.000000001*kB*$B$11))-1))/1000000000000</f>
        <v>46.7929395188807</v>
      </c>
      <c r="L52" s="16" t="n">
        <f aca="false">(2*hP*cL^2/(H52*0.000000001)^5/(EXP(hP*cL/(H52*0.000000001*kB*$B$12))-1))/1000000000000</f>
        <v>4.27888517328872</v>
      </c>
    </row>
    <row r="53" customFormat="false" ht="15" hidden="false" customHeight="false" outlineLevel="0" collapsed="false">
      <c r="E53" s="16" t="n">
        <f aca="false">6*27/30</f>
        <v>5.4</v>
      </c>
      <c r="F53" s="17" t="n">
        <f aca="false">$B$6*EXP(-E53)+(1-EXP(-E53))</f>
        <v>1.00541989713114</v>
      </c>
      <c r="G53" s="20" t="n">
        <f aca="false">1</f>
        <v>1</v>
      </c>
      <c r="H53" s="20" t="n">
        <v>414</v>
      </c>
      <c r="I53" s="27" t="n">
        <f aca="false">$B$14+$B$13*SUMPRODUCT($P$6:$P$27,EXP(0-((H53-$O$6:$O$27)/1.2)^2))</f>
        <v>0.0200178341685166</v>
      </c>
      <c r="J53" s="16" t="n">
        <f aca="false">($B$15*(2*hP*cL^2/(H53*0.000000001)^5/(EXP(hP*cL/(H53*0.000000001*kB*$B$11))-1))*EXP(-I53)+(2*hP*cL^2/(H53*0.000000001)^5/(EXP(hP*cL/(H53*0.000000001*kB*$B$12))-1))*(1-EXP(-I53)))/1000000000000</f>
        <v>46.0370699542029</v>
      </c>
      <c r="K53" s="16" t="n">
        <f aca="false">$B$15*(2*hP*cL^2/(H53*0.000000001)^5/(EXP(hP*cL/(H53*0.000000001*kB*$B$11))-1))/1000000000000</f>
        <v>46.880243269002</v>
      </c>
      <c r="L53" s="16" t="n">
        <f aca="false">(2*hP*cL^2/(H53*0.000000001)^5/(EXP(hP*cL/(H53*0.000000001*kB*$B$12))-1))/1000000000000</f>
        <v>4.33614408419973</v>
      </c>
    </row>
    <row r="54" customFormat="false" ht="15" hidden="false" customHeight="false" outlineLevel="0" collapsed="false">
      <c r="E54" s="16" t="n">
        <f aca="false">6*28/30</f>
        <v>5.6</v>
      </c>
      <c r="F54" s="17" t="n">
        <f aca="false">$B$6*EXP(-E54)+(1-EXP(-E54))</f>
        <v>1.00443743645978</v>
      </c>
      <c r="G54" s="20" t="n">
        <f aca="false">1</f>
        <v>1</v>
      </c>
      <c r="H54" s="20" t="n">
        <v>416</v>
      </c>
      <c r="I54" s="27" t="n">
        <f aca="false">$B$14+$B$13*SUMPRODUCT($P$6:$P$27,EXP(0-((H54-$O$6:$O$27)/1.2)^2))</f>
        <v>0.0200000000372946</v>
      </c>
      <c r="J54" s="16" t="n">
        <f aca="false">($B$15*(2*hP*cL^2/(H54*0.000000001)^5/(EXP(hP*cL/(H54*0.000000001*kB*$B$11))-1))*EXP(-I54)+(2*hP*cL^2/(H54*0.000000001)^5/(EXP(hP*cL/(H54*0.000000001*kB*$B$12))-1))*(1-EXP(-I54)))/1000000000000</f>
        <v>46.1186521426211</v>
      </c>
      <c r="K54" s="16" t="n">
        <f aca="false">$B$15*(2*hP*cL^2/(H54*0.000000001)^5/(EXP(hP*cL/(H54*0.000000001*kB*$B$11))-1))/1000000000000</f>
        <v>46.9615642086772</v>
      </c>
      <c r="L54" s="16" t="n">
        <f aca="false">(2*hP*cL^2/(H54*0.000000001)^5/(EXP(hP*cL/(H54*0.000000001*kB*$B$12))-1))/1000000000000</f>
        <v>4.39310010735621</v>
      </c>
    </row>
    <row r="55" customFormat="false" ht="15" hidden="false" customHeight="false" outlineLevel="0" collapsed="false">
      <c r="E55" s="16" t="n">
        <f aca="false">6*29/30</f>
        <v>5.8</v>
      </c>
      <c r="F55" s="17" t="n">
        <f aca="false">$B$6*EXP(-E55)+(1-EXP(-E55))</f>
        <v>1.00363306569445</v>
      </c>
      <c r="G55" s="20" t="n">
        <f aca="false">1</f>
        <v>1</v>
      </c>
      <c r="H55" s="20" t="n">
        <v>418</v>
      </c>
      <c r="I55" s="27" t="n">
        <f aca="false">$B$14+$B$13*SUMPRODUCT($P$6:$P$27,EXP(0-((H55-$O$6:$O$27)/1.2)^2))</f>
        <v>0.02</v>
      </c>
      <c r="J55" s="16" t="n">
        <f aca="false">($B$15*(2*hP*cL^2/(H55*0.000000001)^5/(EXP(hP*cL/(H55*0.000000001*kB*$B$11))-1))*EXP(-I55)+(2*hP*cL^2/(H55*0.000000001)^5/(EXP(hP*cL/(H55*0.000000001*kB*$B$12))-1))*(1-EXP(-I55)))/1000000000000</f>
        <v>46.1937028761527</v>
      </c>
      <c r="K55" s="16" t="n">
        <f aca="false">$B$15*(2*hP*cL^2/(H55*0.000000001)^5/(EXP(hP*cL/(H55*0.000000001*kB*$B$11))-1))/1000000000000</f>
        <v>47.0369868755084</v>
      </c>
      <c r="L55" s="16" t="n">
        <f aca="false">(2*hP*cL^2/(H55*0.000000001)^5/(EXP(hP*cL/(H55*0.000000001*kB*$B$12))-1))/1000000000000</f>
        <v>4.44973944408005</v>
      </c>
    </row>
    <row r="56" customFormat="false" ht="15" hidden="false" customHeight="false" outlineLevel="0" collapsed="false">
      <c r="E56" s="16" t="n">
        <f aca="false">6*30/30</f>
        <v>6</v>
      </c>
      <c r="F56" s="17" t="n">
        <f aca="false">$B$6*EXP(-E56)+(1-EXP(-E56))</f>
        <v>1.002974502612</v>
      </c>
      <c r="G56" s="20" t="n">
        <f aca="false">1</f>
        <v>1</v>
      </c>
      <c r="H56" s="20" t="n">
        <v>420</v>
      </c>
      <c r="I56" s="27" t="n">
        <f aca="false">$B$14+$B$13*SUMPRODUCT($P$6:$P$27,EXP(0-((H56-$O$6:$O$27)/1.2)^2))</f>
        <v>0.02</v>
      </c>
      <c r="J56" s="16" t="n">
        <f aca="false">($B$15*(2*hP*cL^2/(H56*0.000000001)^5/(EXP(hP*cL/(H56*0.000000001*kB*$B$11))-1))*EXP(-I56)+(2*hP*cL^2/(H56*0.000000001)^5/(EXP(hP*cL/(H56*0.000000001*kB*$B$12))-1))*(1-EXP(-I56)))/1000000000000</f>
        <v>46.2630489692527</v>
      </c>
      <c r="K56" s="16" t="n">
        <f aca="false">$B$15*(2*hP*cL^2/(H56*0.000000001)^5/(EXP(hP*cL/(H56*0.000000001*kB*$B$11))-1))/1000000000000</f>
        <v>47.1065963308041</v>
      </c>
      <c r="L56" s="16" t="n">
        <f aca="false">(2*hP*cL^2/(H56*0.000000001)^5/(EXP(hP*cL/(H56*0.000000001*kB*$B$12))-1))/1000000000000</f>
        <v>4.50604866956152</v>
      </c>
    </row>
    <row r="57" customFormat="false" ht="15" hidden="false" customHeight="false" outlineLevel="0" collapsed="false">
      <c r="H57" s="20" t="n">
        <v>422</v>
      </c>
      <c r="I57" s="27" t="n">
        <f aca="false">$B$14+$B$13*SUMPRODUCT($P$6:$P$27,EXP(0-((H57-$O$6:$O$27)/1.2)^2))</f>
        <v>0.02</v>
      </c>
      <c r="J57" s="16" t="n">
        <f aca="false">($B$15*(2*hP*cL^2/(H57*0.000000001)^5/(EXP(hP*cL/(H57*0.000000001*kB*$B$11))-1))*EXP(-I57)+(2*hP*cL^2/(H57*0.000000001)^5/(EXP(hP*cL/(H57*0.000000001*kB*$B$12))-1))*(1-EXP(-I57)))/1000000000000</f>
        <v>46.3267739756363</v>
      </c>
      <c r="K57" s="16" t="n">
        <f aca="false">$B$15*(2*hP*cL^2/(H57*0.000000001)^5/(EXP(hP*cL/(H57*0.000000001*kB*$B$11))-1))/1000000000000</f>
        <v>47.1704780782288</v>
      </c>
      <c r="L57" s="16" t="n">
        <f aca="false">(2*hP*cL^2/(H57*0.000000001)^5/(EXP(hP*cL/(H57*0.000000001*kB*$B$12))-1))/1000000000000</f>
        <v>4.56201473317671</v>
      </c>
    </row>
    <row r="58" customFormat="false" ht="15" hidden="false" customHeight="false" outlineLevel="0" collapsed="false">
      <c r="H58" s="20" t="n">
        <v>424</v>
      </c>
      <c r="I58" s="27" t="n">
        <f aca="false">$B$14+$B$13*SUMPRODUCT($P$6:$P$27,EXP(0-((H58-$O$6:$O$27)/1.2)^2))</f>
        <v>0.02</v>
      </c>
      <c r="J58" s="16" t="n">
        <f aca="false">($B$15*(2*hP*cL^2/(H58*0.000000001)^5/(EXP(hP*cL/(H58*0.000000001*kB*$B$11))-1))*EXP(-I58)+(2*hP*cL^2/(H58*0.000000001)^5/(EXP(hP*cL/(H58*0.000000001*kB*$B$12))-1))*(1-EXP(-I58)))/1000000000000</f>
        <v>46.3849618119378</v>
      </c>
      <c r="K58" s="16" t="n">
        <f aca="false">$B$15*(2*hP*cL^2/(H58*0.000000001)^5/(EXP(hP*cL/(H58*0.000000001*kB*$B$11))-1))/1000000000000</f>
        <v>47.2287179857279</v>
      </c>
      <c r="L58" s="16" t="n">
        <f aca="false">(2*hP*cL^2/(H58*0.000000001)^5/(EXP(hP*cL/(H58*0.000000001*kB*$B$12))-1))/1000000000000</f>
        <v>4.61762495841293</v>
      </c>
    </row>
    <row r="59" customFormat="false" ht="15" hidden="false" customHeight="false" outlineLevel="0" collapsed="false">
      <c r="H59" s="20" t="n">
        <v>426</v>
      </c>
      <c r="I59" s="27" t="n">
        <f aca="false">$B$14+$B$13*SUMPRODUCT($P$6:$P$27,EXP(0-((H59-$O$6:$O$27)/1.2)^2))</f>
        <v>0.02</v>
      </c>
      <c r="J59" s="16" t="n">
        <f aca="false">($B$15*(2*hP*cL^2/(H59*0.000000001)^5/(EXP(hP*cL/(H59*0.000000001*kB*$B$11))-1))*EXP(-I59)+(2*hP*cL^2/(H59*0.000000001)^5/(EXP(hP*cL/(H59*0.000000001*kB*$B$12))-1))*(1-EXP(-I59)))/1000000000000</f>
        <v>46.4376966858646</v>
      </c>
      <c r="K59" s="16" t="n">
        <f aca="false">$B$15*(2*hP*cL^2/(H59*0.000000001)^5/(EXP(hP*cL/(H59*0.000000001*kB*$B$11))-1))/1000000000000</f>
        <v>47.2814022106514</v>
      </c>
      <c r="L59" s="16" t="n">
        <f aca="false">(2*hP*cL^2/(H59*0.000000001)^5/(EXP(hP*cL/(H59*0.000000001*kB*$B$12))-1))/1000000000000</f>
        <v>4.67286704241924</v>
      </c>
    </row>
    <row r="60" customFormat="false" ht="15" hidden="false" customHeight="false" outlineLevel="0" collapsed="false">
      <c r="H60" s="20" t="n">
        <v>428</v>
      </c>
      <c r="I60" s="27" t="n">
        <f aca="false">$B$14+$B$13*SUMPRODUCT($P$6:$P$27,EXP(0-((H60-$O$6:$O$27)/1.2)^2))</f>
        <v>0.020000000001414</v>
      </c>
      <c r="J60" s="16" t="n">
        <f aca="false">($B$15*(2*hP*cL^2/(H60*0.000000001)^5/(EXP(hP*cL/(H60*0.000000001*kB*$B$11))-1))*EXP(-I60)+(2*hP*cL^2/(H60*0.000000001)^5/(EXP(hP*cL/(H60*0.000000001*kB*$B$12))-1))*(1-EXP(-I60)))/1000000000000</f>
        <v>46.4850630257928</v>
      </c>
      <c r="K60" s="16" t="n">
        <f aca="false">$B$15*(2*hP*cL^2/(H60*0.000000001)^5/(EXP(hP*cL/(H60*0.000000001*kB*$B$11))-1))/1000000000000</f>
        <v>47.3286171280038</v>
      </c>
      <c r="L60" s="16" t="n">
        <f aca="false">(2*hP*cL^2/(H60*0.000000001)^5/(EXP(hP*cL/(H60*0.000000001*kB*$B$12))-1))/1000000000000</f>
        <v>4.72772905519927</v>
      </c>
    </row>
    <row r="61" customFormat="false" ht="15" hidden="false" customHeight="false" outlineLevel="0" collapsed="false">
      <c r="H61" s="20" t="n">
        <v>430</v>
      </c>
      <c r="I61" s="27" t="n">
        <f aca="false">$B$14+$B$13*SUMPRODUCT($P$6:$P$27,EXP(0-((H61-$O$6:$O$27)/1.2)^2))</f>
        <v>0.020002446757078</v>
      </c>
      <c r="J61" s="16" t="n">
        <f aca="false">($B$15*(2*hP*cL^2/(H61*0.000000001)^5/(EXP(hP*cL/(H61*0.000000001*kB*$B$11))-1))*EXP(-I61)+(2*hP*cL^2/(H61*0.000000001)^5/(EXP(hP*cL/(H61*0.000000001*kB*$B$12))-1))*(1-EXP(-I61)))/1000000000000</f>
        <v>46.5270432740814</v>
      </c>
      <c r="K61" s="16" t="n">
        <f aca="false">$B$15*(2*hP*cL^2/(H61*0.000000001)^5/(EXP(hP*cL/(H61*0.000000001*kB*$B$11))-1))/1000000000000</f>
        <v>47.3704492617428</v>
      </c>
      <c r="L61" s="16" t="n">
        <f aca="false">(2*hP*cL^2/(H61*0.000000001)^5/(EXP(hP*cL/(H61*0.000000001*kB*$B$12))-1))/1000000000000</f>
        <v>4.78219943846285</v>
      </c>
    </row>
    <row r="62" customFormat="false" ht="15" hidden="false" customHeight="false" outlineLevel="0" collapsed="false">
      <c r="H62" s="20" t="n">
        <v>432</v>
      </c>
      <c r="I62" s="27" t="n">
        <f aca="false">$B$14+$B$13*SUMPRODUCT($P$6:$P$27,EXP(0-((H62-$O$6:$O$27)/1.2)^2))</f>
        <v>0.0363682185348348</v>
      </c>
      <c r="J62" s="16" t="n">
        <f aca="false">($B$15*(2*hP*cL^2/(H62*0.000000001)^5/(EXP(hP*cL/(H62*0.000000001*kB*$B$11))-1))*EXP(-I62)+(2*hP*cL^2/(H62*0.000000001)^5/(EXP(hP*cL/(H62*0.000000001*kB*$B$12))-1))*(1-EXP(-I62)))/1000000000000</f>
        <v>45.8865788478374</v>
      </c>
      <c r="K62" s="16" t="n">
        <f aca="false">$B$15*(2*hP*cL^2/(H62*0.000000001)^5/(EXP(hP*cL/(H62*0.000000001*kB*$B$11))-1))/1000000000000</f>
        <v>47.4069852190531</v>
      </c>
      <c r="L62" s="16" t="n">
        <f aca="false">(2*hP*cL^2/(H62*0.000000001)^5/(EXP(hP*cL/(H62*0.000000001*kB*$B$12))-1))/1000000000000</f>
        <v>4.83626700415289</v>
      </c>
    </row>
    <row r="63" customFormat="false" ht="15" hidden="false" customHeight="false" outlineLevel="0" collapsed="false">
      <c r="H63" s="20" t="n">
        <v>434</v>
      </c>
      <c r="I63" s="27" t="n">
        <f aca="false">$B$14+$B$13*SUMPRODUCT($P$6:$P$27,EXP(0-((H63-$O$6:$O$27)/1.2)^2))</f>
        <v>0.443316166439307</v>
      </c>
      <c r="J63" s="16" t="n">
        <f aca="false">($B$15*(2*hP*cL^2/(H63*0.000000001)^5/(EXP(hP*cL/(H63*0.000000001*kB*$B$11))-1))*EXP(-I63)+(2*hP*cL^2/(H63*0.000000001)^5/(EXP(hP*cL/(H63*0.000000001*kB*$B$12))-1))*(1-EXP(-I63)))/1000000000000</f>
        <v>32.2019127474003</v>
      </c>
      <c r="K63" s="16" t="n">
        <f aca="false">$B$15*(2*hP*cL^2/(H63*0.000000001)^5/(EXP(hP*cL/(H63*0.000000001*kB*$B$11))-1))/1000000000000</f>
        <v>47.4383116275175</v>
      </c>
      <c r="L63" s="16" t="n">
        <f aca="false">(2*hP*cL^2/(H63*0.000000001)^5/(EXP(hP*cL/(H63*0.000000001*kB*$B$12))-1))/1000000000000</f>
        <v>4.88992093266356</v>
      </c>
    </row>
    <row r="64" customFormat="false" ht="15" hidden="false" customHeight="false" outlineLevel="0" collapsed="false">
      <c r="H64" s="20" t="n">
        <v>436</v>
      </c>
      <c r="I64" s="27" t="n">
        <f aca="false">$B$14+$B$13*SUMPRODUCT($P$6:$P$27,EXP(0-((H64-$O$6:$O$27)/1.2)^2))</f>
        <v>0.0623234607713133</v>
      </c>
      <c r="J64" s="16" t="n">
        <f aca="false">($B$15*(2*hP*cL^2/(H64*0.000000001)^5/(EXP(hP*cL/(H64*0.000000001*kB*$B$11))-1))*EXP(-I64)+(2*hP*cL^2/(H64*0.000000001)^5/(EXP(hP*cL/(H64*0.000000001*kB*$B$12))-1))*(1-EXP(-I64)))/1000000000000</f>
        <v>44.8953283509926</v>
      </c>
      <c r="K64" s="16" t="n">
        <f aca="false">$B$15*(2*hP*cL^2/(H64*0.000000001)^5/(EXP(hP*cL/(H64*0.000000001*kB*$B$11))-1))/1000000000000</f>
        <v>47.4645150751111</v>
      </c>
      <c r="L64" s="16" t="n">
        <f aca="false">(2*hP*cL^2/(H64*0.000000001)^5/(EXP(hP*cL/(H64*0.000000001*kB*$B$12))-1))/1000000000000</f>
        <v>4.94315077076552</v>
      </c>
    </row>
    <row r="65" customFormat="false" ht="15" hidden="false" customHeight="false" outlineLevel="0" collapsed="false">
      <c r="H65" s="20" t="n">
        <v>438</v>
      </c>
      <c r="I65" s="27" t="n">
        <f aca="false">$B$14+$B$13*SUMPRODUCT($P$6:$P$27,EXP(0-((H65-$O$6:$O$27)/1.2)^2))</f>
        <v>0.0200163587595491</v>
      </c>
      <c r="J65" s="16" t="n">
        <f aca="false">($B$15*(2*hP*cL^2/(H65*0.000000001)^5/(EXP(hP*cL/(H65*0.000000001*kB*$B$11))-1))*EXP(-I65)+(2*hP*cL^2/(H65*0.000000001)^5/(EXP(hP*cL/(H65*0.000000001*kB*$B$12))-1))*(1-EXP(-I65)))/1000000000000</f>
        <v>46.6436476064452</v>
      </c>
      <c r="K65" s="16" t="n">
        <f aca="false">$B$15*(2*hP*cL^2/(H65*0.000000001)^5/(EXP(hP*cL/(H65*0.000000001*kB*$B$11))-1))/1000000000000</f>
        <v>47.4856820529414</v>
      </c>
      <c r="L65" s="16" t="n">
        <f aca="false">(2*hP*cL^2/(H65*0.000000001)^5/(EXP(hP*cL/(H65*0.000000001*kB*$B$12))-1))/1000000000000</f>
        <v>4.99594642925352</v>
      </c>
    </row>
    <row r="66" customFormat="false" ht="15" hidden="false" customHeight="false" outlineLevel="0" collapsed="false">
      <c r="H66" s="20" t="n">
        <v>440</v>
      </c>
      <c r="I66" s="27" t="n">
        <f aca="false">$B$14+$B$13*SUMPRODUCT($P$6:$P$27,EXP(0-((H66-$O$6:$O$27)/1.2)^2))</f>
        <v>0.020000000024444</v>
      </c>
      <c r="J66" s="16" t="n">
        <f aca="false">($B$15*(2*hP*cL^2/(H66*0.000000001)^5/(EXP(hP*cL/(H66*0.000000001*kB*$B$11))-1))*EXP(-I66)+(2*hP*cL^2/(H66*0.000000001)^5/(EXP(hP*cL/(H66*0.000000001*kB*$B$12))-1))*(1-EXP(-I66)))/1000000000000</f>
        <v>46.6612612824751</v>
      </c>
      <c r="K66" s="16" t="n">
        <f aca="false">$B$15*(2*hP*cL^2/(H66*0.000000001)^5/(EXP(hP*cL/(H66*0.000000001*kB*$B$11))-1))/1000000000000</f>
        <v>47.5018989006601</v>
      </c>
      <c r="L66" s="16" t="n">
        <f aca="false">(2*hP*cL^2/(H66*0.000000001)^5/(EXP(hP*cL/(H66*0.000000001*kB*$B$12))-1))/1000000000000</f>
        <v>5.04829818033147</v>
      </c>
    </row>
    <row r="67" customFormat="false" ht="15" hidden="false" customHeight="false" outlineLevel="0" collapsed="false">
      <c r="H67" s="20" t="n">
        <v>442</v>
      </c>
      <c r="I67" s="27" t="n">
        <f aca="false">$B$14+$B$13*SUMPRODUCT($P$6:$P$27,EXP(0-((H67-$O$6:$O$27)/1.2)^2))</f>
        <v>0.02</v>
      </c>
      <c r="J67" s="16" t="n">
        <f aca="false">($B$15*(2*hP*cL^2/(H67*0.000000001)^5/(EXP(hP*cL/(H67*0.000000001*kB*$B$11))-1))*EXP(-I67)+(2*hP*cL^2/(H67*0.000000001)^5/(EXP(hP*cL/(H67*0.000000001*kB*$B$12))-1))*(1-EXP(-I67)))/1000000000000</f>
        <v>46.6734169943819</v>
      </c>
      <c r="K67" s="16" t="n">
        <f aca="false">$B$15*(2*hP*cL^2/(H67*0.000000001)^5/(EXP(hP*cL/(H67*0.000000001*kB*$B$11))-1))/1000000000000</f>
        <v>47.51325175447</v>
      </c>
      <c r="L67" s="16" t="n">
        <f aca="false">(2*hP*cL^2/(H67*0.000000001)^5/(EXP(hP*cL/(H67*0.000000001*kB*$B$12))-1))/1000000000000</f>
        <v>5.10019665474955</v>
      </c>
    </row>
    <row r="68" customFormat="false" ht="15" hidden="false" customHeight="false" outlineLevel="0" collapsed="false">
      <c r="H68" s="20" t="n">
        <v>444</v>
      </c>
      <c r="I68" s="27" t="n">
        <f aca="false">$B$14+$B$13*SUMPRODUCT($P$6:$P$27,EXP(0-((H68-$O$6:$O$27)/1.2)^2))</f>
        <v>0.02</v>
      </c>
      <c r="J68" s="16" t="n">
        <f aca="false">($B$15*(2*hP*cL^2/(H68*0.000000001)^5/(EXP(hP*cL/(H68*0.000000001*kB*$B$11))-1))*EXP(-I68)+(2*hP*cL^2/(H68*0.000000001)^5/(EXP(hP*cL/(H68*0.000000001*kB*$B$12))-1))*(1-EXP(-I68)))/1000000000000</f>
        <v>46.6808800536115</v>
      </c>
      <c r="K68" s="16" t="n">
        <f aca="false">$B$15*(2*hP*cL^2/(H68*0.000000001)^5/(EXP(hP*cL/(H68*0.000000001*kB*$B$11))-1))/1000000000000</f>
        <v>47.519826497655</v>
      </c>
      <c r="L68" s="16" t="n">
        <f aca="false">(2*hP*cL^2/(H68*0.000000001)^5/(EXP(hP*cL/(H68*0.000000001*kB*$B$12))-1))/1000000000000</f>
        <v>5.15163283870773</v>
      </c>
    </row>
    <row r="69" customFormat="false" ht="15" hidden="false" customHeight="false" outlineLevel="0" collapsed="false">
      <c r="H69" s="20" t="n">
        <v>446</v>
      </c>
      <c r="I69" s="27" t="n">
        <f aca="false">$B$14+$B$13*SUMPRODUCT($P$6:$P$27,EXP(0-((H69-$O$6:$O$27)/1.2)^2))</f>
        <v>0.02</v>
      </c>
      <c r="J69" s="16" t="n">
        <f aca="false">($B$15*(2*hP*cL^2/(H69*0.000000001)^5/(EXP(hP*cL/(H69*0.000000001*kB*$B$11))-1))*EXP(-I69)+(2*hP*cL^2/(H69*0.000000001)^5/(EXP(hP*cL/(H69*0.000000001*kB*$B$12))-1))*(1-EXP(-I69)))/1000000000000</f>
        <v>46.6837341783456</v>
      </c>
      <c r="K69" s="16" t="n">
        <f aca="false">$B$15*(2*hP*cL^2/(H69*0.000000001)^5/(EXP(hP*cL/(H69*0.000000001*kB*$B$11))-1))/1000000000000</f>
        <v>47.5217087135556</v>
      </c>
      <c r="L69" s="16" t="n">
        <f aca="false">(2*hP*cL^2/(H69*0.000000001)^5/(EXP(hP*cL/(H69*0.000000001*kB*$B$12))-1))/1000000000000</f>
        <v>5.20259807053956</v>
      </c>
    </row>
    <row r="70" customFormat="false" ht="15" hidden="false" customHeight="false" outlineLevel="0" collapsed="false">
      <c r="H70" s="20" t="n">
        <v>448</v>
      </c>
      <c r="I70" s="27" t="n">
        <f aca="false">$B$14+$B$13*SUMPRODUCT($P$6:$P$27,EXP(0-((H70-$O$6:$O$27)/1.2)^2))</f>
        <v>0.02</v>
      </c>
      <c r="J70" s="16" t="n">
        <f aca="false">($B$15*(2*hP*cL^2/(H70*0.000000001)^5/(EXP(hP*cL/(H70*0.000000001*kB*$B$11))-1))*EXP(-I70)+(2*hP*cL^2/(H70*0.000000001)^5/(EXP(hP*cL/(H70*0.000000001*kB*$B$12))-1))*(1-EXP(-I70)))/1000000000000</f>
        <v>46.6820627548836</v>
      </c>
      <c r="K70" s="16" t="n">
        <f aca="false">$B$15*(2*hP*cL^2/(H70*0.000000001)^5/(EXP(hP*cL/(H70*0.000000001*kB*$B$11))-1))/1000000000000</f>
        <v>47.518983640921</v>
      </c>
      <c r="L70" s="16" t="n">
        <f aca="false">(2*hP*cL^2/(H70*0.000000001)^5/(EXP(hP*cL/(H70*0.000000001*kB*$B$12))-1))/1000000000000</f>
        <v>5.25308403718979</v>
      </c>
    </row>
    <row r="71" customFormat="false" ht="15" hidden="false" customHeight="false" outlineLevel="0" collapsed="false">
      <c r="H71" s="20" t="n">
        <v>450</v>
      </c>
      <c r="I71" s="27" t="n">
        <f aca="false">$B$14+$B$13*SUMPRODUCT($P$6:$P$27,EXP(0-((H71-$O$6:$O$27)/1.2)^2))</f>
        <v>0.02</v>
      </c>
      <c r="J71" s="16" t="n">
        <f aca="false">($B$15*(2*hP*cL^2/(H71*0.000000001)^5/(EXP(hP*cL/(H71*0.000000001*kB*$B$11))-1))*EXP(-I71)+(2*hP*cL^2/(H71*0.000000001)^5/(EXP(hP*cL/(H71*0.000000001*kB*$B$12))-1))*(1-EXP(-I71)))/1000000000000</f>
        <v>46.6759487970779</v>
      </c>
      <c r="K71" s="16" t="n">
        <f aca="false">$B$15*(2*hP*cL^2/(H71*0.000000001)^5/(EXP(hP*cL/(H71*0.000000001*kB*$B$11))-1))/1000000000000</f>
        <v>47.5117361315622</v>
      </c>
      <c r="L71" s="16" t="n">
        <f aca="false">(2*hP*cL^2/(H71*0.000000001)^5/(EXP(hP*cL/(H71*0.000000001*kB*$B$12))-1))/1000000000000</f>
        <v>5.30308277049895</v>
      </c>
    </row>
    <row r="72" customFormat="false" ht="15" hidden="false" customHeight="false" outlineLevel="0" collapsed="false">
      <c r="H72" s="20" t="n">
        <v>452</v>
      </c>
      <c r="I72" s="27" t="n">
        <f aca="false">$B$14+$B$13*SUMPRODUCT($P$6:$P$27,EXP(0-((H72-$O$6:$O$27)/1.2)^2))</f>
        <v>0.02</v>
      </c>
      <c r="J72" s="16" t="n">
        <f aca="false">($B$15*(2*hP*cL^2/(H72*0.000000001)^5/(EXP(hP*cL/(H72*0.000000001*kB*$B$11))-1))*EXP(-I72)+(2*hP*cL^2/(H72*0.000000001)^5/(EXP(hP*cL/(H72*0.000000001*kB*$B$12))-1))*(1-EXP(-I72)))/1000000000000</f>
        <v>46.6654749069356</v>
      </c>
      <c r="K72" s="16" t="n">
        <f aca="false">$B$15*(2*hP*cL^2/(H72*0.000000001)^5/(EXP(hP*cL/(H72*0.000000001*kB*$B$11))-1))/1000000000000</f>
        <v>47.5000506102365</v>
      </c>
      <c r="L72" s="16" t="n">
        <f aca="false">(2*hP*cL^2/(H72*0.000000001)^5/(EXP(hP*cL/(H72*0.000000001*kB*$B$12))-1))/1000000000000</f>
        <v>5.35258664330768</v>
      </c>
    </row>
    <row r="73" customFormat="false" ht="15" hidden="false" customHeight="false" outlineLevel="0" collapsed="false">
      <c r="H73" s="20" t="n">
        <v>454</v>
      </c>
      <c r="I73" s="27" t="n">
        <f aca="false">$B$14+$B$13*SUMPRODUCT($P$6:$P$27,EXP(0-((H73-$O$6:$O$27)/1.2)^2))</f>
        <v>0.02</v>
      </c>
      <c r="J73" s="16" t="n">
        <f aca="false">($B$15*(2*hP*cL^2/(H73*0.000000001)^5/(EXP(hP*cL/(H73*0.000000001*kB*$B$11))-1))*EXP(-I73)+(2*hP*cL^2/(H73*0.000000001)^5/(EXP(hP*cL/(H73*0.000000001*kB*$B$12))-1))*(1-EXP(-I73)))/1000000000000</f>
        <v>46.6507232373343</v>
      </c>
      <c r="K73" s="16" t="n">
        <f aca="false">$B$15*(2*hP*cL^2/(H73*0.000000001)^5/(EXP(hP*cL/(H73*0.000000001*kB*$B$11))-1))/1000000000000</f>
        <v>47.4840110366919</v>
      </c>
      <c r="L73" s="16" t="n">
        <f aca="false">(2*hP*cL^2/(H73*0.000000001)^5/(EXP(hP*cL/(H73*0.000000001*kB*$B$12))-1))/1000000000000</f>
        <v>5.40158836539312</v>
      </c>
    </row>
    <row r="74" customFormat="false" ht="15" hidden="false" customHeight="false" outlineLevel="0" collapsed="false">
      <c r="H74" s="20" t="n">
        <v>456</v>
      </c>
      <c r="I74" s="27" t="n">
        <f aca="false">$B$14+$B$13*SUMPRODUCT($P$6:$P$27,EXP(0-((H74-$O$6:$O$27)/1.2)^2))</f>
        <v>0.02</v>
      </c>
      <c r="J74" s="16" t="n">
        <f aca="false">($B$15*(2*hP*cL^2/(H74*0.000000001)^5/(EXP(hP*cL/(H74*0.000000001*kB*$B$11))-1))*EXP(-I74)+(2*hP*cL^2/(H74*0.000000001)^5/(EXP(hP*cL/(H74*0.000000001*kB*$B$12))-1))*(1-EXP(-I74)))/1000000000000</f>
        <v>46.6317754567851</v>
      </c>
      <c r="K74" s="16" t="n">
        <f aca="false">$B$15*(2*hP*cL^2/(H74*0.000000001)^5/(EXP(hP*cL/(H74*0.000000001*kB*$B$11))-1))/1000000000000</f>
        <v>47.4637008698037</v>
      </c>
      <c r="L74" s="16" t="n">
        <f aca="false">(2*hP*cL^2/(H74*0.000000001)^5/(EXP(hP*cL/(H74*0.000000001*kB*$B$12))-1))/1000000000000</f>
        <v>5.4500809792495</v>
      </c>
    </row>
    <row r="75" customFormat="false" ht="15" hidden="false" customHeight="false" outlineLevel="0" collapsed="false">
      <c r="H75" s="20" t="n">
        <v>458</v>
      </c>
      <c r="I75" s="27" t="n">
        <f aca="false">$B$14+$B$13*SUMPRODUCT($P$6:$P$27,EXP(0-((H75-$O$6:$O$27)/1.2)^2))</f>
        <v>0.02</v>
      </c>
      <c r="J75" s="16" t="n">
        <f aca="false">($B$15*(2*hP*cL^2/(H75*0.000000001)^5/(EXP(hP*cL/(H75*0.000000001*kB*$B$11))-1))*EXP(-I75)+(2*hP*cL^2/(H75*0.000000001)^5/(EXP(hP*cL/(H75*0.000000001*kB*$B$12))-1))*(1-EXP(-I75)))/1000000000000</f>
        <v>46.6087127161741</v>
      </c>
      <c r="K75" s="16" t="n">
        <f aca="false">$B$15*(2*hP*cL^2/(H75*0.000000001)^5/(EXP(hP*cL/(H75*0.000000001*kB*$B$11))-1))/1000000000000</f>
        <v>47.4392030337327</v>
      </c>
      <c r="L75" s="16" t="n">
        <f aca="false">(2*hP*cL^2/(H75*0.000000001)^5/(EXP(hP*cL/(H75*0.000000001*kB*$B$12))-1))/1000000000000</f>
        <v>5.49805785572439</v>
      </c>
    </row>
    <row r="76" customFormat="false" ht="15" hidden="false" customHeight="false" outlineLevel="0" collapsed="false">
      <c r="H76" s="20" t="n">
        <v>460</v>
      </c>
      <c r="I76" s="27" t="n">
        <f aca="false">$B$14+$B$13*SUMPRODUCT($P$6:$P$27,EXP(0-((H76-$O$6:$O$27)/1.2)^2))</f>
        <v>0.02</v>
      </c>
      <c r="J76" s="16" t="n">
        <f aca="false">($B$15*(2*hP*cL^2/(H76*0.000000001)^5/(EXP(hP*cL/(H76*0.000000001*kB*$B$11))-1))*EXP(-I76)+(2*hP*cL^2/(H76*0.000000001)^5/(EXP(hP*cL/(H76*0.000000001*kB*$B$12))-1))*(1-EXP(-I76)))/1000000000000</f>
        <v>46.5816156174209</v>
      </c>
      <c r="K76" s="16" t="n">
        <f aca="false">$B$15*(2*hP*cL^2/(H76*0.000000001)^5/(EXP(hP*cL/(H76*0.000000001*kB*$B$11))-1))/1000000000000</f>
        <v>47.4105998860403</v>
      </c>
      <c r="L76" s="16" t="n">
        <f aca="false">(2*hP*cL^2/(H76*0.000000001)^5/(EXP(hP*cL/(H76*0.000000001*kB*$B$12))-1))/1000000000000</f>
        <v>5.54551268952181</v>
      </c>
    </row>
    <row r="77" customFormat="false" ht="15" hidden="false" customHeight="false" outlineLevel="0" collapsed="false">
      <c r="H77" s="20" t="n">
        <v>462</v>
      </c>
      <c r="I77" s="27" t="n">
        <f aca="false">$B$14+$B$13*SUMPRODUCT($P$6:$P$27,EXP(0-((H77-$O$6:$O$27)/1.2)^2))</f>
        <v>0.02</v>
      </c>
      <c r="J77" s="16" t="n">
        <f aca="false">($B$15*(2*hP*cL^2/(H77*0.000000001)^5/(EXP(hP*cL/(H77*0.000000001*kB*$B$11))-1))*EXP(-I77)+(2*hP*cL^2/(H77*0.000000001)^5/(EXP(hP*cL/(H77*0.000000001*kB*$B$12))-1))*(1-EXP(-I77)))/1000000000000</f>
        <v>46.5505641839839</v>
      </c>
      <c r="K77" s="16" t="n">
        <f aca="false">$B$15*(2*hP*cL^2/(H77*0.000000001)^5/(EXP(hP*cL/(H77*0.000000001*kB*$B$11))-1))/1000000000000</f>
        <v>47.3779731876927</v>
      </c>
      <c r="L77" s="16" t="n">
        <f aca="false">(2*hP*cL^2/(H77*0.000000001)^5/(EXP(hP*cL/(H77*0.000000001*kB*$B$12))-1))/1000000000000</f>
        <v>5.59243949458328</v>
      </c>
    </row>
    <row r="78" customFormat="false" ht="15" hidden="false" customHeight="false" outlineLevel="0" collapsed="false">
      <c r="H78" s="20" t="n">
        <v>464</v>
      </c>
      <c r="I78" s="27" t="n">
        <f aca="false">$B$14+$B$13*SUMPRODUCT($P$6:$P$27,EXP(0-((H78-$O$6:$O$27)/1.2)^2))</f>
        <v>0.02</v>
      </c>
      <c r="J78" s="16" t="n">
        <f aca="false">($B$15*(2*hP*cL^2/(H78*0.000000001)^5/(EXP(hP*cL/(H78*0.000000001*kB*$B$11))-1))*EXP(-I78)+(2*hP*cL^2/(H78*0.000000001)^5/(EXP(hP*cL/(H78*0.000000001*kB*$B$12))-1))*(1-EXP(-I78)))/1000000000000</f>
        <v>46.5156378331557</v>
      </c>
      <c r="K78" s="16" t="n">
        <f aca="false">$B$15*(2*hP*cL^2/(H78*0.000000001)^5/(EXP(hP*cL/(H78*0.000000001*kB*$B$11))-1))/1000000000000</f>
        <v>47.3414040748912</v>
      </c>
      <c r="L78" s="16" t="n">
        <f aca="false">(2*hP*cL^2/(H78*0.000000001)^5/(EXP(hP*cL/(H78*0.000000001*kB*$B$12))-1))/1000000000000</f>
        <v>5.63883259935704</v>
      </c>
    </row>
    <row r="79" customFormat="false" ht="15" hidden="false" customHeight="false" outlineLevel="0" collapsed="false">
      <c r="H79" s="20" t="n">
        <v>466</v>
      </c>
      <c r="I79" s="27" t="n">
        <f aca="false">$B$14+$B$13*SUMPRODUCT($P$6:$P$27,EXP(0-((H79-$O$6:$O$27)/1.2)^2))</f>
        <v>0.02</v>
      </c>
      <c r="J79" s="16" t="n">
        <f aca="false">($B$15*(2*hP*cL^2/(H79*0.000000001)^5/(EXP(hP*cL/(H79*0.000000001*kB*$B$11))-1))*EXP(-I79)+(2*hP*cL^2/(H79*0.000000001)^5/(EXP(hP*cL/(H79*0.000000001*kB*$B$12))-1))*(1-EXP(-I79)))/1000000000000</f>
        <v>46.4769153500813</v>
      </c>
      <c r="K79" s="16" t="n">
        <f aca="false">$B$15*(2*hP*cL^2/(H79*0.000000001)^5/(EXP(hP*cL/(H79*0.000000001*kB*$B$11))-1))/1000000000000</f>
        <v>47.3009730326632</v>
      </c>
      <c r="L79" s="16" t="n">
        <f aca="false">(2*hP*cL^2/(H79*0.000000001)^5/(EXP(hP*cL/(H79*0.000000001*kB*$B$12))-1))/1000000000000</f>
        <v>5.68468664196556</v>
      </c>
    </row>
    <row r="80" customFormat="false" ht="15" hidden="false" customHeight="false" outlineLevel="0" collapsed="false">
      <c r="H80" s="20" t="n">
        <v>468</v>
      </c>
      <c r="I80" s="27" t="n">
        <f aca="false">$B$14+$B$13*SUMPRODUCT($P$6:$P$27,EXP(0-((H80-$O$6:$O$27)/1.2)^2))</f>
        <v>0.02</v>
      </c>
      <c r="J80" s="16" t="n">
        <f aca="false">($B$15*(2*hP*cL^2/(H80*0.000000001)^5/(EXP(hP*cL/(H80*0.000000001*kB*$B$11))-1))*EXP(-I80)+(2*hP*cL^2/(H80*0.000000001)^5/(EXP(hP*cL/(H80*0.000000001*kB*$B$12))-1))*(1-EXP(-I80)))/1000000000000</f>
        <v>46.4344748634415</v>
      </c>
      <c r="K80" s="16" t="n">
        <f aca="false">$B$15*(2*hP*cL^2/(H80*0.000000001)^5/(EXP(hP*cL/(H80*0.000000001*kB*$B$11))-1))/1000000000000</f>
        <v>47.2567598701543</v>
      </c>
      <c r="L80" s="16" t="n">
        <f aca="false">(2*hP*cL^2/(H80*0.000000001)^5/(EXP(hP*cL/(H80*0.000000001*kB*$B$12))-1))/1000000000000</f>
        <v>5.72999656528118</v>
      </c>
    </row>
    <row r="81" customFormat="false" ht="15" hidden="false" customHeight="false" outlineLevel="0" collapsed="false">
      <c r="H81" s="20" t="n">
        <v>470</v>
      </c>
      <c r="I81" s="27" t="n">
        <f aca="false">$B$14+$B$13*SUMPRODUCT($P$6:$P$27,EXP(0-((H81-$O$6:$O$27)/1.2)^2))</f>
        <v>0.02</v>
      </c>
      <c r="J81" s="16" t="n">
        <f aca="false">($B$15*(2*hP*cL^2/(H81*0.000000001)^5/(EXP(hP*cL/(H81*0.000000001*kB*$B$11))-1))*EXP(-I81)+(2*hP*cL^2/(H81*0.000000001)^5/(EXP(hP*cL/(H81*0.000000001*kB*$B$12))-1))*(1-EXP(-I81)))/1000000000000</f>
        <v>46.3883938227407</v>
      </c>
      <c r="K81" s="16" t="n">
        <f aca="false">$B$15*(2*hP*cL^2/(H81*0.000000001)^5/(EXP(hP*cL/(H81*0.000000001*kB*$B$11))-1))/1000000000000</f>
        <v>47.2088436975585</v>
      </c>
      <c r="L81" s="16" t="n">
        <f aca="false">(2*hP*cL^2/(H81*0.000000001)^5/(EXP(hP*cL/(H81*0.000000001*kB*$B$12))-1))/1000000000000</f>
        <v>5.77475761191912</v>
      </c>
    </row>
    <row r="82" customFormat="false" ht="15" hidden="false" customHeight="false" outlineLevel="0" collapsed="false">
      <c r="H82" s="20" t="n">
        <v>472</v>
      </c>
      <c r="I82" s="27" t="n">
        <f aca="false">$B$14+$B$13*SUMPRODUCT($P$6:$P$27,EXP(0-((H82-$O$6:$O$27)/1.2)^2))</f>
        <v>0.02</v>
      </c>
      <c r="J82" s="16" t="n">
        <f aca="false">($B$15*(2*hP*cL^2/(H82*0.000000001)^5/(EXP(hP*cL/(H82*0.000000001*kB*$B$11))-1))*EXP(-I82)+(2*hP*cL^2/(H82*0.000000001)^5/(EXP(hP*cL/(H82*0.000000001*kB*$B$12))-1))*(1-EXP(-I82)))/1000000000000</f>
        <v>46.3387489771423</v>
      </c>
      <c r="K82" s="16" t="n">
        <f aca="false">$B$15*(2*hP*cL^2/(H82*0.000000001)^5/(EXP(hP*cL/(H82*0.000000001*kB*$B$11))-1))/1000000000000</f>
        <v>47.1573029046279</v>
      </c>
      <c r="L82" s="16" t="n">
        <f aca="false">(2*hP*cL^2/(H82*0.000000001)^5/(EXP(hP*cL/(H82*0.000000001*kB*$B$12))-1))/1000000000000</f>
        <v>5.81896531915702</v>
      </c>
    </row>
    <row r="83" customFormat="false" ht="15" hidden="false" customHeight="false" outlineLevel="0" collapsed="false">
      <c r="H83" s="20" t="n">
        <v>474</v>
      </c>
      <c r="I83" s="27" t="n">
        <f aca="false">$B$14+$B$13*SUMPRODUCT($P$6:$P$27,EXP(0-((H83-$O$6:$O$27)/1.2)^2))</f>
        <v>0.02</v>
      </c>
      <c r="J83" s="16" t="n">
        <f aca="false">($B$15*(2*hP*cL^2/(H83*0.000000001)^5/(EXP(hP*cL/(H83*0.000000001*kB*$B$11))-1))*EXP(-I83)+(2*hP*cL^2/(H83*0.000000001)^5/(EXP(hP*cL/(H83*0.000000001*kB*$B$12))-1))*(1-EXP(-I83)))/1000000000000</f>
        <v>46.2856163557932</v>
      </c>
      <c r="K83" s="16" t="n">
        <f aca="false">$B$15*(2*hP*cL^2/(H83*0.000000001)^5/(EXP(hP*cL/(H83*0.000000001*kB*$B$11))-1))/1000000000000</f>
        <v>47.1022151407044</v>
      </c>
      <c r="L83" s="16" t="n">
        <f aca="false">(2*hP*cL^2/(H83*0.000000001)^5/(EXP(hP*cL/(H83*0.000000001*kB*$B$12))-1))/1000000000000</f>
        <v>5.86261551378935</v>
      </c>
    </row>
    <row r="84" customFormat="false" ht="15" hidden="false" customHeight="false" outlineLevel="0" collapsed="false">
      <c r="H84" s="20" t="n">
        <v>476</v>
      </c>
      <c r="I84" s="27" t="n">
        <f aca="false">$B$14+$B$13*SUMPRODUCT($P$6:$P$27,EXP(0-((H84-$O$6:$O$27)/1.2)^2))</f>
        <v>0.02</v>
      </c>
      <c r="J84" s="16" t="n">
        <f aca="false">($B$15*(2*hP*cL^2/(H84*0.000000001)^5/(EXP(hP*cL/(H84*0.000000001*kB*$B$11))-1))*EXP(-I84)+(2*hP*cL^2/(H84*0.000000001)^5/(EXP(hP*cL/(H84*0.000000001*kB*$B$12))-1))*(1-EXP(-I84)))/1000000000000</f>
        <v>46.2290712495833</v>
      </c>
      <c r="K84" s="16" t="n">
        <f aca="false">$B$15*(2*hP*cL^2/(H84*0.000000001)^5/(EXP(hP*cL/(H84*0.000000001*kB*$B$11))-1))/1000000000000</f>
        <v>47.0436572962156</v>
      </c>
      <c r="L84" s="16" t="n">
        <f aca="false">(2*hP*cL^2/(H84*0.000000001)^5/(EXP(hP*cL/(H84*0.000000001*kB*$B$12))-1))/1000000000000</f>
        <v>5.90570430692532</v>
      </c>
    </row>
    <row r="85" customFormat="false" ht="15" hidden="false" customHeight="false" outlineLevel="0" collapsed="false">
      <c r="H85" s="20" t="n">
        <v>478</v>
      </c>
      <c r="I85" s="27" t="n">
        <f aca="false">$B$14+$B$13*SUMPRODUCT($P$6:$P$27,EXP(0-((H85-$O$6:$O$27)/1.2)^2))</f>
        <v>0.02</v>
      </c>
      <c r="J85" s="16" t="n">
        <f aca="false">($B$15*(2*hP*cL^2/(H85*0.000000001)^5/(EXP(hP*cL/(H85*0.000000001*kB*$B$11))-1))*EXP(-I85)+(2*hP*cL^2/(H85*0.000000001)^5/(EXP(hP*cL/(H85*0.000000001*kB*$B$12))-1))*(1-EXP(-I85)))/1000000000000</f>
        <v>46.1691881942855</v>
      </c>
      <c r="K85" s="16" t="n">
        <f aca="false">$B$15*(2*hP*cL^2/(H85*0.000000001)^5/(EXP(hP*cL/(H85*0.000000001*kB*$B$11))-1))/1000000000000</f>
        <v>46.9817054855803</v>
      </c>
      <c r="L85" s="16" t="n">
        <f aca="false">(2*hP*cL^2/(H85*0.000000001)^5/(EXP(hP*cL/(H85*0.000000001*kB*$B$12))-1))/1000000000000</f>
        <v>5.94822808873805</v>
      </c>
    </row>
    <row r="86" customFormat="false" ht="15" hidden="false" customHeight="false" outlineLevel="0" collapsed="false">
      <c r="H86" s="20" t="n">
        <v>480</v>
      </c>
      <c r="I86" s="27" t="n">
        <f aca="false">$B$14+$B$13*SUMPRODUCT($P$6:$P$27,EXP(0-((H86-$O$6:$O$27)/1.2)^2))</f>
        <v>0.0200000000011538</v>
      </c>
      <c r="J86" s="16" t="n">
        <f aca="false">($B$15*(2*hP*cL^2/(H86*0.000000001)^5/(EXP(hP*cL/(H86*0.000000001*kB*$B$11))-1))*EXP(-I86)+(2*hP*cL^2/(H86*0.000000001)^5/(EXP(hP*cL/(H86*0.000000001*kB*$B$12))-1))*(1-EXP(-I86)))/1000000000000</f>
        <v>46.1060409549763</v>
      </c>
      <c r="K86" s="16" t="n">
        <f aca="false">$B$15*(2*hP*cL^2/(H86*0.000000001)^5/(EXP(hP*cL/(H86*0.000000001*kB*$B$11))-1))/1000000000000</f>
        <v>46.9164350314683</v>
      </c>
      <c r="L86" s="16" t="n">
        <f aca="false">(2*hP*cL^2/(H86*0.000000001)^5/(EXP(hP*cL/(H86*0.000000001*kB*$B$12))-1))/1000000000000</f>
        <v>5.9901835231727</v>
      </c>
    </row>
    <row r="87" customFormat="false" ht="15" hidden="false" customHeight="false" outlineLevel="0" collapsed="false">
      <c r="H87" s="20" t="n">
        <v>482</v>
      </c>
      <c r="I87" s="27" t="n">
        <f aca="false">$B$14+$B$13*SUMPRODUCT($P$6:$P$27,EXP(0-((H87-$O$6:$O$27)/1.2)^2))</f>
        <v>0.0200026432874084</v>
      </c>
      <c r="J87" s="16" t="n">
        <f aca="false">($B$15*(2*hP*cL^2/(H87*0.000000001)^5/(EXP(hP*cL/(H87*0.000000001*kB*$B$11))-1))*EXP(-I87)+(2*hP*cL^2/(H87*0.000000001)^5/(EXP(hP*cL/(H87*0.000000001*kB*$B$12))-1))*(1-EXP(-I87)))/1000000000000</f>
        <v>46.0395967591516</v>
      </c>
      <c r="K87" s="16" t="n">
        <f aca="false">$B$15*(2*hP*cL^2/(H87*0.000000001)^5/(EXP(hP*cL/(H87*0.000000001*kB*$B$11))-1))/1000000000000</f>
        <v>46.8479204503643</v>
      </c>
      <c r="L87" s="16" t="n">
        <f aca="false">(2*hP*cL^2/(H87*0.000000001)^5/(EXP(hP*cL/(H87*0.000000001*kB*$B$12))-1))/1000000000000</f>
        <v>6.03156754262069</v>
      </c>
    </row>
    <row r="88" customFormat="false" ht="15" hidden="false" customHeight="false" outlineLevel="0" collapsed="false">
      <c r="H88" s="20" t="n">
        <v>484</v>
      </c>
      <c r="I88" s="27" t="n">
        <f aca="false">$B$14+$B$13*SUMPRODUCT($P$6:$P$27,EXP(0-((H88-$O$6:$O$27)/1.2)^2))</f>
        <v>0.0434098525491722</v>
      </c>
      <c r="J88" s="16" t="n">
        <f aca="false">($B$15*(2*hP*cL^2/(H88*0.000000001)^5/(EXP(hP*cL/(H88*0.000000001*kB*$B$11))-1))*EXP(-I88)+(2*hP*cL^2/(H88*0.000000001)^5/(EXP(hP*cL/(H88*0.000000001*kB*$B$12))-1))*(1-EXP(-I88)))/1000000000000</f>
        <v>45.0470894741415</v>
      </c>
      <c r="K88" s="16" t="n">
        <f aca="false">$B$15*(2*hP*cL^2/(H88*0.000000001)^5/(EXP(hP*cL/(H88*0.000000001*kB*$B$11))-1))/1000000000000</f>
        <v>46.7762354393817</v>
      </c>
      <c r="L88" s="16" t="n">
        <f aca="false">(2*hP*cL^2/(H88*0.000000001)^5/(EXP(hP*cL/(H88*0.000000001*kB*$B$12))-1))/1000000000000</f>
        <v>6.07237734256733</v>
      </c>
    </row>
    <row r="89" customFormat="false" ht="15" hidden="false" customHeight="false" outlineLevel="0" collapsed="false">
      <c r="H89" s="20" t="n">
        <v>486</v>
      </c>
      <c r="I89" s="27" t="n">
        <f aca="false">$B$14+$B$13*SUMPRODUCT($P$6:$P$27,EXP(0-((H89-$O$6:$O$27)/1.2)^2))</f>
        <v>0.821504283340438</v>
      </c>
      <c r="J89" s="16" t="n">
        <f aca="false">($B$15*(2*hP*cL^2/(H89*0.000000001)^5/(EXP(hP*cL/(H89*0.000000001*kB*$B$11))-1))*EXP(-I89)+(2*hP*cL^2/(H89*0.000000001)^5/(EXP(hP*cL/(H89*0.000000001*kB*$B$12))-1))*(1-EXP(-I89)))/1000000000000</f>
        <v>23.9623501556006</v>
      </c>
      <c r="K89" s="16" t="n">
        <f aca="false">$B$15*(2*hP*cL^2/(H89*0.000000001)^5/(EXP(hP*cL/(H89*0.000000001*kB*$B$11))-1))/1000000000000</f>
        <v>46.701452864278</v>
      </c>
      <c r="L89" s="16" t="n">
        <f aca="false">(2*hP*cL^2/(H89*0.000000001)^5/(EXP(hP*cL/(H89*0.000000001*kB*$B$12))-1))/1000000000000</f>
        <v>6.11261037621898</v>
      </c>
    </row>
    <row r="90" customFormat="false" ht="15" hidden="false" customHeight="false" outlineLevel="0" collapsed="false">
      <c r="H90" s="20" t="n">
        <v>488</v>
      </c>
      <c r="I90" s="27" t="n">
        <f aca="false">$B$14+$B$13*SUMPRODUCT($P$6:$P$27,EXP(0-((H90-$O$6:$O$27)/1.2)^2))</f>
        <v>0.126087910418592</v>
      </c>
      <c r="J90" s="16" t="n">
        <f aca="false">($B$15*(2*hP*cL^2/(H90*0.000000001)^5/(EXP(hP*cL/(H90*0.000000001*kB*$B$11))-1))*EXP(-I90)+(2*hP*cL^2/(H90*0.000000001)^5/(EXP(hP*cL/(H90*0.000000001*kB*$B$12))-1))*(1-EXP(-I90)))/1000000000000</f>
        <v>41.8292976583444</v>
      </c>
      <c r="K90" s="16" t="n">
        <f aca="false">$B$15*(2*hP*cL^2/(H90*0.000000001)^5/(EXP(hP*cL/(H90*0.000000001*kB*$B$11))-1))/1000000000000</f>
        <v>46.6236447486234</v>
      </c>
      <c r="L90" s="16" t="n">
        <f aca="false">(2*hP*cL^2/(H90*0.000000001)^5/(EXP(hP*cL/(H90*0.000000001*kB*$B$12))-1))/1000000000000</f>
        <v>6.15226434911671</v>
      </c>
    </row>
    <row r="91" customFormat="false" ht="15" hidden="false" customHeight="false" outlineLevel="0" collapsed="false">
      <c r="H91" s="20" t="n">
        <v>490</v>
      </c>
      <c r="I91" s="27" t="n">
        <f aca="false">$B$14+$B$13*SUMPRODUCT($P$6:$P$27,EXP(0-((H91-$O$6:$O$27)/1.2)^2))</f>
        <v>0.0200542848724027</v>
      </c>
      <c r="J91" s="16" t="n">
        <f aca="false">($B$15*(2*hP*cL^2/(H91*0.000000001)^5/(EXP(hP*cL/(H91*0.000000001*kB*$B$11))-1))*EXP(-I91)+(2*hP*cL^2/(H91*0.000000001)^5/(EXP(hP*cL/(H91*0.000000001*kB*$B$12))-1))*(1-EXP(-I91)))/1000000000000</f>
        <v>45.7417210921374</v>
      </c>
      <c r="K91" s="16" t="n">
        <f aca="false">$B$15*(2*hP*cL^2/(H91*0.000000001)^5/(EXP(hP*cL/(H91*0.000000001*kB*$B$11))-1))/1000000000000</f>
        <v>46.542882264074</v>
      </c>
      <c r="L91" s="16" t="n">
        <f aca="false">(2*hP*cL^2/(H91*0.000000001)^5/(EXP(hP*cL/(H91*0.000000001*kB*$B$12))-1))/1000000000000</f>
        <v>6.19133721374192</v>
      </c>
    </row>
    <row r="92" customFormat="false" ht="15" hidden="false" customHeight="false" outlineLevel="0" collapsed="false">
      <c r="H92" s="20" t="n">
        <v>492</v>
      </c>
      <c r="I92" s="27" t="n">
        <f aca="false">$B$14+$B$13*SUMPRODUCT($P$6:$P$27,EXP(0-((H92-$O$6:$O$27)/1.2)^2))</f>
        <v>0.0200000001073853</v>
      </c>
      <c r="J92" s="16" t="n">
        <f aca="false">($B$15*(2*hP*cL^2/(H92*0.000000001)^5/(EXP(hP*cL/(H92*0.000000001*kB*$B$11))-1))*EXP(-I92)+(2*hP*cL^2/(H92*0.000000001)^5/(EXP(hP*cL/(H92*0.000000001*kB*$B$12))-1))*(1-EXP(-I92)))/1000000000000</f>
        <v>45.6626400559454</v>
      </c>
      <c r="K92" s="16" t="n">
        <f aca="false">$B$15*(2*hP*cL^2/(H92*0.000000001)^5/(EXP(hP*cL/(H92*0.000000001*kB*$B$11))-1))/1000000000000</f>
        <v>46.4592357217047</v>
      </c>
      <c r="L92" s="16" t="n">
        <f aca="false">(2*hP*cL^2/(H92*0.000000001)^5/(EXP(hP*cL/(H92*0.000000001*kB*$B$12))-1))/1000000000000</f>
        <v>6.22982716412014</v>
      </c>
    </row>
    <row r="93" customFormat="false" ht="15" hidden="false" customHeight="false" outlineLevel="0" collapsed="false">
      <c r="H93" s="20" t="n">
        <v>494</v>
      </c>
      <c r="I93" s="27" t="n">
        <f aca="false">$B$14+$B$13*SUMPRODUCT($P$6:$P$27,EXP(0-((H93-$O$6:$O$27)/1.2)^2))</f>
        <v>0.02</v>
      </c>
      <c r="J93" s="16" t="n">
        <f aca="false">($B$15*(2*hP*cL^2/(H93*0.000000001)^5/(EXP(hP*cL/(H93*0.000000001*kB*$B$11))-1))*EXP(-I93)+(2*hP*cL^2/(H93*0.000000001)^5/(EXP(hP*cL/(H93*0.000000001*kB*$B$12))-1))*(1-EXP(-I93)))/1000000000000</f>
        <v>45.5786415269768</v>
      </c>
      <c r="K93" s="16" t="n">
        <f aca="false">$B$15*(2*hP*cL^2/(H93*0.000000001)^5/(EXP(hP*cL/(H93*0.000000001*kB*$B$11))-1))/1000000000000</f>
        <v>46.3727745643568</v>
      </c>
      <c r="L93" s="16" t="n">
        <f aca="false">(2*hP*cL^2/(H93*0.000000001)^5/(EXP(hP*cL/(H93*0.000000001*kB*$B$12))-1))/1000000000000</f>
        <v>6.26773263042816</v>
      </c>
    </row>
    <row r="94" customFormat="false" ht="15" hidden="false" customHeight="false" outlineLevel="0" collapsed="false">
      <c r="H94" s="20" t="n">
        <v>496</v>
      </c>
      <c r="I94" s="27" t="n">
        <f aca="false">$B$14+$B$13*SUMPRODUCT($P$6:$P$27,EXP(0-((H94-$O$6:$O$27)/1.2)^2))</f>
        <v>0.02</v>
      </c>
      <c r="J94" s="16" t="n">
        <f aca="false">($B$15*(2*hP*cL^2/(H94*0.000000001)^5/(EXP(hP*cL/(H94*0.000000001*kB*$B$11))-1))*EXP(-I94)+(2*hP*cL^2/(H94*0.000000001)^5/(EXP(hP*cL/(H94*0.000000001*kB*$B$12))-1))*(1-EXP(-I94)))/1000000000000</f>
        <v>45.4919397220218</v>
      </c>
      <c r="K94" s="16" t="n">
        <f aca="false">$B$15*(2*hP*cL^2/(H94*0.000000001)^5/(EXP(hP*cL/(H94*0.000000001*kB*$B$11))-1))/1000000000000</f>
        <v>46.2835673599574</v>
      </c>
      <c r="L94" s="16" t="n">
        <f aca="false">(2*hP*cL^2/(H94*0.000000001)^5/(EXP(hP*cL/(H94*0.000000001*kB*$B$12))-1))/1000000000000</f>
        <v>6.30505227360986</v>
      </c>
    </row>
    <row r="95" customFormat="false" ht="15" hidden="false" customHeight="false" outlineLevel="0" collapsed="false">
      <c r="H95" s="20" t="n">
        <v>498</v>
      </c>
      <c r="I95" s="27" t="n">
        <f aca="false">$B$14+$B$13*SUMPRODUCT($P$6:$P$27,EXP(0-((H95-$O$6:$O$27)/1.2)^2))</f>
        <v>0.02</v>
      </c>
      <c r="J95" s="16" t="n">
        <f aca="false">($B$15*(2*hP*cL^2/(H95*0.000000001)^5/(EXP(hP*cL/(H95*0.000000001*kB*$B$11))-1))*EXP(-I95)+(2*hP*cL^2/(H95*0.000000001)^5/(EXP(hP*cL/(H95*0.000000001*kB*$B$12))-1))*(1-EXP(-I95)))/1000000000000</f>
        <v>45.4026009702264</v>
      </c>
      <c r="K95" s="16" t="n">
        <f aca="false">$B$15*(2*hP*cL^2/(H95*0.000000001)^5/(EXP(hP*cL/(H95*0.000000001*kB*$B$11))-1))/1000000000000</f>
        <v>46.1916817957673</v>
      </c>
      <c r="L95" s="16" t="n">
        <f aca="false">(2*hP*cL^2/(H95*0.000000001)^5/(EXP(hP*cL/(H95*0.000000001*kB*$B$12))-1))/1000000000000</f>
        <v>6.34178498000566</v>
      </c>
    </row>
    <row r="96" customFormat="false" ht="15" hidden="false" customHeight="false" outlineLevel="0" collapsed="false">
      <c r="H96" s="20" t="n">
        <v>500</v>
      </c>
      <c r="I96" s="27" t="n">
        <f aca="false">$B$14+$B$13*SUMPRODUCT($P$6:$P$27,EXP(0-((H96-$O$6:$O$27)/1.2)^2))</f>
        <v>0.02</v>
      </c>
      <c r="J96" s="16" t="n">
        <f aca="false">($B$15*(2*hP*cL^2/(H96*0.000000001)^5/(EXP(hP*cL/(H96*0.000000001*kB*$B$11))-1))*EXP(-I96)+(2*hP*cL^2/(H96*0.000000001)^5/(EXP(hP*cL/(H96*0.000000001*kB*$B$12))-1))*(1-EXP(-I96)))/1000000000000</f>
        <v>45.3106907328641</v>
      </c>
      <c r="K96" s="16" t="n">
        <f aca="false">$B$15*(2*hP*cL^2/(H96*0.000000001)^5/(EXP(hP*cL/(H96*0.000000001*kB*$B$11))-1))/1000000000000</f>
        <v>46.0971846735181</v>
      </c>
      <c r="L96" s="16" t="n">
        <f aca="false">(2*hP*cL^2/(H96*0.000000001)^5/(EXP(hP*cL/(H96*0.000000001*kB*$B$12))-1))/1000000000000</f>
        <v>6.3779298560001</v>
      </c>
    </row>
    <row r="97" customFormat="false" ht="15" hidden="false" customHeight="false" outlineLevel="0" collapsed="false">
      <c r="H97" s="20" t="n">
        <v>502</v>
      </c>
      <c r="I97" s="27" t="n">
        <f aca="false">$B$14+$B$13*SUMPRODUCT($P$6:$P$27,EXP(0-((H97-$O$6:$O$27)/1.2)^2))</f>
        <v>0.02</v>
      </c>
      <c r="J97" s="16" t="n">
        <f aca="false">($B$15*(2*hP*cL^2/(H97*0.000000001)^5/(EXP(hP*cL/(H97*0.000000001*kB*$B$11))-1))*EXP(-I97)+(2*hP*cL^2/(H97*0.000000001)^5/(EXP(hP*cL/(H97*0.000000001*kB*$B$12))-1))*(1-EXP(-I97)))/1000000000000</f>
        <v>45.2162736035312</v>
      </c>
      <c r="K97" s="16" t="n">
        <f aca="false">$B$15*(2*hP*cL^2/(H97*0.000000001)^5/(EXP(hP*cL/(H97*0.000000001*kB*$B$11))-1))/1000000000000</f>
        <v>46.0001419053974</v>
      </c>
      <c r="L97" s="16" t="n">
        <f aca="false">(2*hP*cL^2/(H97*0.000000001)^5/(EXP(hP*cL/(H97*0.000000001*kB*$B$12))-1))/1000000000000</f>
        <v>6.41348622269219</v>
      </c>
    </row>
    <row r="98" customFormat="false" ht="15" hidden="false" customHeight="false" outlineLevel="0" collapsed="false">
      <c r="H98" s="20" t="n">
        <v>504</v>
      </c>
      <c r="I98" s="27" t="n">
        <f aca="false">$B$14+$B$13*SUMPRODUCT($P$6:$P$27,EXP(0-((H98-$O$6:$O$27)/1.2)^2))</f>
        <v>0.02</v>
      </c>
      <c r="J98" s="16" t="n">
        <f aca="false">($B$15*(2*hP*cL^2/(H98*0.000000001)^5/(EXP(hP*cL/(H98*0.000000001*kB*$B$11))-1))*EXP(-I98)+(2*hP*cL^2/(H98*0.000000001)^5/(EXP(hP*cL/(H98*0.000000001*kB*$B$12))-1))*(1-EXP(-I98)))/1000000000000</f>
        <v>45.1194133049002</v>
      </c>
      <c r="K98" s="16" t="n">
        <f aca="false">$B$15*(2*hP*cL^2/(H98*0.000000001)^5/(EXP(hP*cL/(H98*0.000000001*kB*$B$11))-1))/1000000000000</f>
        <v>45.9006185108459</v>
      </c>
      <c r="L98" s="16" t="n">
        <f aca="false">(2*hP*cL^2/(H98*0.000000001)^5/(EXP(hP*cL/(H98*0.000000001*kB*$B$12))-1))/1000000000000</f>
        <v>6.44845361059251</v>
      </c>
    </row>
    <row r="99" customFormat="false" ht="15" hidden="false" customHeight="false" outlineLevel="0" collapsed="false">
      <c r="H99" s="20" t="n">
        <v>506</v>
      </c>
      <c r="I99" s="27" t="n">
        <f aca="false">$B$14+$B$13*SUMPRODUCT($P$6:$P$27,EXP(0-((H99-$O$6:$O$27)/1.2)^2))</f>
        <v>0.02</v>
      </c>
      <c r="J99" s="16" t="n">
        <f aca="false">($B$15*(2*hP*cL^2/(H99*0.000000001)^5/(EXP(hP*cL/(H99*0.000000001*kB*$B$11))-1))*EXP(-I99)+(2*hP*cL^2/(H99*0.000000001)^5/(EXP(hP*cL/(H99*0.000000001*kB*$B$12))-1))*(1-EXP(-I99)))/1000000000000</f>
        <v>45.0201726862342</v>
      </c>
      <c r="K99" s="16" t="n">
        <f aca="false">$B$15*(2*hP*cL^2/(H99*0.000000001)^5/(EXP(hP*cL/(H99*0.000000001*kB*$B$11))-1))/1000000000000</f>
        <v>45.7986786141262</v>
      </c>
      <c r="L99" s="16" t="n">
        <f aca="false">(2*hP*cL^2/(H99*0.000000001)^5/(EXP(hP*cL/(H99*0.000000001*kB*$B$12))-1))/1000000000000</f>
        <v>6.48283175435105</v>
      </c>
    </row>
    <row r="100" customFormat="false" ht="15" hidden="false" customHeight="false" outlineLevel="0" collapsed="false">
      <c r="H100" s="20" t="n">
        <v>508</v>
      </c>
      <c r="I100" s="27" t="n">
        <f aca="false">$B$14+$B$13*SUMPRODUCT($P$6:$P$27,EXP(0-((H100-$O$6:$O$27)/1.2)^2))</f>
        <v>0.02</v>
      </c>
      <c r="J100" s="16" t="n">
        <f aca="false">($B$15*(2*hP*cL^2/(H100*0.000000001)^5/(EXP(hP*cL/(H100*0.000000001*kB*$B$11))-1))*EXP(-I100)+(2*hP*cL^2/(H100*0.000000001)^5/(EXP(hP*cL/(H100*0.000000001*kB*$B$12))-1))*(1-EXP(-I100)))/1000000000000</f>
        <v>44.9186137216231</v>
      </c>
      <c r="K100" s="16" t="n">
        <f aca="false">$B$15*(2*hP*cL^2/(H100*0.000000001)^5/(EXP(hP*cL/(H100*0.000000001*kB*$B$11))-1))/1000000000000</f>
        <v>45.6943854426303</v>
      </c>
      <c r="L100" s="16" t="n">
        <f aca="false">(2*hP*cL^2/(H100*0.000000001)^5/(EXP(hP*cL/(H100*0.000000001*kB*$B$12))-1))/1000000000000</f>
        <v>6.51662058751959</v>
      </c>
    </row>
    <row r="101" customFormat="false" ht="15" hidden="false" customHeight="false" outlineLevel="0" collapsed="false">
      <c r="H101" s="20" t="n">
        <v>510</v>
      </c>
      <c r="I101" s="27" t="n">
        <f aca="false">$B$14+$B$13*SUMPRODUCT($P$6:$P$27,EXP(0-((H101-$O$6:$O$27)/1.2)^2))</f>
        <v>0.02</v>
      </c>
      <c r="J101" s="16" t="n">
        <f aca="false">($B$15*(2*hP*cL^2/(H101*0.000000001)^5/(EXP(hP*cL/(H101*0.000000001*kB*$B$11))-1))*EXP(-I101)+(2*hP*cL^2/(H101*0.000000001)^5/(EXP(hP*cL/(H101*0.000000001*kB*$B$12))-1))*(1-EXP(-I101)))/1000000000000</f>
        <v>44.8147975089103</v>
      </c>
      <c r="K101" s="16" t="n">
        <f aca="false">$B$15*(2*hP*cL^2/(H101*0.000000001)^5/(EXP(hP*cL/(H101*0.000000001*kB*$B$11))-1))/1000000000000</f>
        <v>45.5878013258891</v>
      </c>
      <c r="L101" s="16" t="n">
        <f aca="false">(2*hP*cL^2/(H101*0.000000001)^5/(EXP(hP*cL/(H101*0.000000001*kB*$B$12))-1))/1000000000000</f>
        <v>6.5498202373519</v>
      </c>
    </row>
    <row r="102" customFormat="false" ht="15" hidden="false" customHeight="false" outlineLevel="0" collapsed="false">
      <c r="H102" s="20" t="n">
        <v>512</v>
      </c>
      <c r="I102" s="27" t="n">
        <f aca="false">$B$14+$B$13*SUMPRODUCT($P$6:$P$27,EXP(0-((H102-$O$6:$O$27)/1.2)^2))</f>
        <v>0.02</v>
      </c>
      <c r="J102" s="16" t="n">
        <f aca="false">($B$15*(2*hP*cL^2/(H102*0.000000001)^5/(EXP(hP*cL/(H102*0.000000001*kB*$B$11))-1))*EXP(-I102)+(2*hP*cL^2/(H102*0.000000001)^5/(EXP(hP*cL/(H102*0.000000001*kB*$B$12))-1))*(1-EXP(-I102)))/1000000000000</f>
        <v>44.7087842692751</v>
      </c>
      <c r="K102" s="16" t="n">
        <f aca="false">$B$15*(2*hP*cL^2/(H102*0.000000001)^5/(EXP(hP*cL/(H102*0.000000001*kB*$B$11))-1))/1000000000000</f>
        <v>45.4789876952511</v>
      </c>
      <c r="L102" s="16" t="n">
        <f aca="false">(2*hP*cL^2/(H102*0.000000001)^5/(EXP(hP*cL/(H102*0.000000001*kB*$B$12))-1))/1000000000000</f>
        <v>6.58243101964517</v>
      </c>
    </row>
    <row r="103" customFormat="false" ht="15" hidden="false" customHeight="false" outlineLevel="0" collapsed="false">
      <c r="H103" s="20" t="n">
        <v>514</v>
      </c>
      <c r="I103" s="27" t="n">
        <f aca="false">$B$14+$B$13*SUMPRODUCT($P$6:$P$27,EXP(0-((H103-$O$6:$O$27)/1.2)^2))</f>
        <v>0.02</v>
      </c>
      <c r="J103" s="16" t="n">
        <f aca="false">($B$15*(2*hP*cL^2/(H103*0.000000001)^5/(EXP(hP*cL/(H103*0.000000001*kB*$B$11))-1))*EXP(-I103)+(2*hP*cL^2/(H103*0.000000001)^5/(EXP(hP*cL/(H103*0.000000001*kB*$B$12))-1))*(1-EXP(-I103)))/1000000000000</f>
        <v>44.6006333474403</v>
      </c>
      <c r="K103" s="16" t="n">
        <f aca="false">$B$15*(2*hP*cL^2/(H103*0.000000001)^5/(EXP(hP*cL/(H103*0.000000001*kB*$B$11))-1))/1000000000000</f>
        <v>45.3680050841968</v>
      </c>
      <c r="L103" s="16" t="n">
        <f aca="false">(2*hP*cL^2/(H103*0.000000001)^5/(EXP(hP*cL/(H103*0.000000001*kB*$B$12))-1))/1000000000000</f>
        <v>6.61445343362564</v>
      </c>
    </row>
    <row r="104" customFormat="false" ht="15" hidden="false" customHeight="false" outlineLevel="0" collapsed="false">
      <c r="H104" s="20" t="n">
        <v>516</v>
      </c>
      <c r="I104" s="27" t="n">
        <f aca="false">$B$14+$B$13*SUMPRODUCT($P$6:$P$27,EXP(0-((H104-$O$6:$O$27)/1.2)^2))</f>
        <v>0.02</v>
      </c>
      <c r="J104" s="16" t="n">
        <f aca="false">($B$15*(2*hP*cL^2/(H104*0.000000001)^5/(EXP(hP*cL/(H104*0.000000001*kB*$B$11))-1))*EXP(-I104)+(2*hP*cL^2/(H104*0.000000001)^5/(EXP(hP*cL/(H104*0.000000001*kB*$B$12))-1))*(1-EXP(-I104)))/1000000000000</f>
        <v>44.4904032124734</v>
      </c>
      <c r="K104" s="16" t="n">
        <f aca="false">$B$15*(2*hP*cL^2/(H104*0.000000001)^5/(EXP(hP*cL/(H104*0.000000001*kB*$B$11))-1))/1000000000000</f>
        <v>45.2549131292591</v>
      </c>
      <c r="L104" s="16" t="n">
        <f aca="false">(2*hP*cL^2/(H104*0.000000001)^5/(EXP(hP*cL/(H104*0.000000001*kB*$B$12))-1))/1000000000000</f>
        <v>6.64588815688144</v>
      </c>
    </row>
    <row r="105" customFormat="false" ht="15" hidden="false" customHeight="false" outlineLevel="0" collapsed="false">
      <c r="H105" s="20" t="n">
        <v>518</v>
      </c>
      <c r="I105" s="27" t="n">
        <f aca="false">$B$14+$B$13*SUMPRODUCT($P$6:$P$27,EXP(0-((H105-$O$6:$O$27)/1.2)^2))</f>
        <v>0.02</v>
      </c>
      <c r="J105" s="16" t="n">
        <f aca="false">($B$15*(2*hP*cL^2/(H105*0.000000001)^5/(EXP(hP*cL/(H105*0.000000001*kB*$B$11))-1))*EXP(-I105)+(2*hP*cL^2/(H105*0.000000001)^5/(EXP(hP*cL/(H105*0.000000001*kB*$B$12))-1))*(1-EXP(-I105)))/1000000000000</f>
        <v>44.3781514591519</v>
      </c>
      <c r="K105" s="16" t="n">
        <f aca="false">$B$15*(2*hP*cL^2/(H105*0.000000001)^5/(EXP(hP*cL/(H105*0.000000001*kB*$B$11))-1))/1000000000000</f>
        <v>45.1397705715172</v>
      </c>
      <c r="L105" s="16" t="n">
        <f aca="false">(2*hP*cL^2/(H105*0.000000001)^5/(EXP(hP*cL/(H105*0.000000001*kB*$B$12))-1))/1000000000000</f>
        <v>6.6767360403449</v>
      </c>
    </row>
    <row r="106" customFormat="false" ht="15" hidden="false" customHeight="false" outlineLevel="0" collapsed="false">
      <c r="H106" s="20" t="n">
        <v>520</v>
      </c>
      <c r="I106" s="27" t="n">
        <f aca="false">$B$14+$B$13*SUMPRODUCT($P$6:$P$27,EXP(0-((H106-$O$6:$O$27)/1.2)^2))</f>
        <v>0.02</v>
      </c>
      <c r="J106" s="16" t="n">
        <f aca="false">($B$15*(2*hP*cL^2/(H106*0.000000001)^5/(EXP(hP*cL/(H106*0.000000001*kB*$B$11))-1))*EXP(-I106)+(2*hP*cL^2/(H106*0.000000001)^5/(EXP(hP*cL/(H106*0.000000001*kB*$B$12))-1))*(1-EXP(-I106)))/1000000000000</f>
        <v>44.2639348098633</v>
      </c>
      <c r="K106" s="16" t="n">
        <f aca="false">$B$15*(2*hP*cL^2/(H106*0.000000001)^5/(EXP(hP*cL/(H106*0.000000001*kB*$B$11))-1))/1000000000000</f>
        <v>45.0226352586354</v>
      </c>
      <c r="L106" s="16" t="n">
        <f aca="false">(2*hP*cL^2/(H106*0.000000001)^5/(EXP(hP*cL/(H106*0.000000001*kB*$B$12))-1))/1000000000000</f>
        <v>6.70699810332745</v>
      </c>
    </row>
    <row r="107" customFormat="false" ht="15" hidden="false" customHeight="false" outlineLevel="0" collapsed="false">
      <c r="H107" s="20" t="n">
        <v>522</v>
      </c>
      <c r="I107" s="27" t="n">
        <f aca="false">$B$14+$B$13*SUMPRODUCT($P$6:$P$27,EXP(0-((H107-$O$6:$O$27)/1.2)^2))</f>
        <v>0.02</v>
      </c>
      <c r="J107" s="16" t="n">
        <f aca="false">($B$15*(2*hP*cL^2/(H107*0.000000001)^5/(EXP(hP*cL/(H107*0.000000001*kB*$B$11))-1))*EXP(-I107)+(2*hP*cL^2/(H107*0.000000001)^5/(EXP(hP*cL/(H107*0.000000001*kB*$B$12))-1))*(1-EXP(-I107)))/1000000000000</f>
        <v>44.1478091170142</v>
      </c>
      <c r="K107" s="16" t="n">
        <f aca="false">$B$15*(2*hP*cL^2/(H107*0.000000001)^5/(EXP(hP*cL/(H107*0.000000001*kB*$B$11))-1))/1000000000000</f>
        <v>44.90356414742</v>
      </c>
      <c r="L107" s="16" t="n">
        <f aca="false">(2*hP*cL^2/(H107*0.000000001)^5/(EXP(hP*cL/(H107*0.000000001*kB*$B$12))-1))/1000000000000</f>
        <v>6.7366755286087</v>
      </c>
    </row>
    <row r="108" customFormat="false" ht="15" hidden="false" customHeight="false" outlineLevel="0" collapsed="false">
      <c r="H108" s="20" t="n">
        <v>524</v>
      </c>
      <c r="I108" s="27" t="n">
        <f aca="false">$B$14+$B$13*SUMPRODUCT($P$6:$P$27,EXP(0-((H108-$O$6:$O$27)/1.2)^2))</f>
        <v>0.02</v>
      </c>
      <c r="J108" s="16" t="n">
        <f aca="false">($B$15*(2*hP*cL^2/(H108*0.000000001)^5/(EXP(hP*cL/(H108*0.000000001*kB*$B$11))-1))*EXP(-I108)+(2*hP*cL^2/(H108*0.000000001)^5/(EXP(hP*cL/(H108*0.000000001*kB*$B$12))-1))*(1-EXP(-I108)))/1000000000000</f>
        <v>44.0298293659181</v>
      </c>
      <c r="K108" s="16" t="n">
        <f aca="false">$B$15*(2*hP*cL^2/(H108*0.000000001)^5/(EXP(hP*cL/(H108*0.000000001*kB*$B$11))-1))/1000000000000</f>
        <v>44.7826133068636</v>
      </c>
      <c r="L108" s="16" t="n">
        <f aca="false">(2*hP*cL^2/(H108*0.000000001)^5/(EXP(hP*cL/(H108*0.000000001*kB*$B$12))-1))/1000000000000</f>
        <v>6.76576965758226</v>
      </c>
    </row>
    <row r="109" customFormat="false" ht="15" hidden="false" customHeight="false" outlineLevel="0" collapsed="false">
      <c r="H109" s="20" t="n">
        <v>526</v>
      </c>
      <c r="I109" s="27" t="n">
        <f aca="false">$B$14+$B$13*SUMPRODUCT($P$6:$P$27,EXP(0-((H109-$O$6:$O$27)/1.2)^2))</f>
        <v>0.02</v>
      </c>
      <c r="J109" s="16" t="n">
        <f aca="false">($B$15*(2*hP*cL^2/(H109*0.000000001)^5/(EXP(hP*cL/(H109*0.000000001*kB*$B$11))-1))*EXP(-I109)+(2*hP*cL^2/(H109*0.000000001)^5/(EXP(hP*cL/(H109*0.000000001*kB*$B$12))-1))*(1-EXP(-I109)))/1000000000000</f>
        <v>43.9100496781401</v>
      </c>
      <c r="K109" s="16" t="n">
        <f aca="false">$B$15*(2*hP*cL^2/(H109*0.000000001)^5/(EXP(hP*cL/(H109*0.000000001*kB*$B$11))-1))/1000000000000</f>
        <v>44.659837921654</v>
      </c>
      <c r="L109" s="16" t="n">
        <f aca="false">(2*hP*cL^2/(H109*0.000000001)^5/(EXP(hP*cL/(H109*0.000000001*kB*$B$12))-1))/1000000000000</f>
        <v>6.79428198546022</v>
      </c>
    </row>
    <row r="110" customFormat="false" ht="15" hidden="false" customHeight="false" outlineLevel="0" collapsed="false">
      <c r="H110" s="20" t="n">
        <v>528</v>
      </c>
      <c r="I110" s="27" t="n">
        <f aca="false">$B$14+$B$13*SUMPRODUCT($P$6:$P$27,EXP(0-((H110-$O$6:$O$27)/1.2)^2))</f>
        <v>0.02</v>
      </c>
      <c r="J110" s="16" t="n">
        <f aca="false">($B$15*(2*hP*cL^2/(H110*0.000000001)^5/(EXP(hP*cL/(H110*0.000000001*kB*$B$11))-1))*EXP(-I110)+(2*hP*cL^2/(H110*0.000000001)^5/(EXP(hP*cL/(H110*0.000000001*kB*$B$12))-1))*(1-EXP(-I110)))/1000000000000</f>
        <v>43.7885233152703</v>
      </c>
      <c r="K110" s="16" t="n">
        <f aca="false">$B$15*(2*hP*cL^2/(H110*0.000000001)^5/(EXP(hP*cL/(H110*0.000000001*kB*$B$11))-1))/1000000000000</f>
        <v>44.53529229612</v>
      </c>
      <c r="L110" s="16" t="n">
        <f aca="false">(2*hP*cL^2/(H110*0.000000001)^5/(EXP(hP*cL/(H110*0.000000001*kB*$B$12))-1))/1000000000000</f>
        <v>6.8222141565379</v>
      </c>
    </row>
    <row r="111" customFormat="false" ht="15" hidden="false" customHeight="false" outlineLevel="0" collapsed="false">
      <c r="H111" s="20" t="n">
        <v>530</v>
      </c>
      <c r="I111" s="27" t="n">
        <f aca="false">$B$14+$B$13*SUMPRODUCT($P$6:$P$27,EXP(0-((H111-$O$6:$O$27)/1.2)^2))</f>
        <v>0.02</v>
      </c>
      <c r="J111" s="16" t="n">
        <f aca="false">($B$15*(2*hP*cL^2/(H111*0.000000001)^5/(EXP(hP*cL/(H111*0.000000001*kB*$B$11))-1))*EXP(-I111)+(2*hP*cL^2/(H111*0.000000001)^5/(EXP(hP*cL/(H111*0.000000001*kB*$B$12))-1))*(1-EXP(-I111)))/1000000000000</f>
        <v>43.6653026831038</v>
      </c>
      <c r="K111" s="16" t="n">
        <f aca="false">$B$15*(2*hP*cL^2/(H111*0.000000001)^5/(EXP(hP*cL/(H111*0.000000001*kB*$B$11))-1))/1000000000000</f>
        <v>44.4090298585897</v>
      </c>
      <c r="L111" s="16" t="n">
        <f aca="false">(2*hP*cL^2/(H111*0.000000001)^5/(EXP(hP*cL/(H111*0.000000001*kB*$B$12))-1))/1000000000000</f>
        <v>6.84956795952056</v>
      </c>
    </row>
    <row r="112" customFormat="false" ht="15" hidden="false" customHeight="false" outlineLevel="0" collapsed="false">
      <c r="H112" s="20" t="n">
        <v>532</v>
      </c>
      <c r="I112" s="27" t="n">
        <f aca="false">$B$14+$B$13*SUMPRODUCT($P$6:$P$27,EXP(0-((H112-$O$6:$O$27)/1.2)^2))</f>
        <v>0.02</v>
      </c>
      <c r="J112" s="16" t="n">
        <f aca="false">($B$15*(2*hP*cL^2/(H112*0.000000001)^5/(EXP(hP*cL/(H112*0.000000001*kB*$B$11))-1))*EXP(-I112)+(2*hP*cL^2/(H112*0.000000001)^5/(EXP(hP*cL/(H112*0.000000001*kB*$B$12))-1))*(1-EXP(-I112)))/1000000000000</f>
        <v>43.5404393362037</v>
      </c>
      <c r="K112" s="16" t="n">
        <f aca="false">$B$15*(2*hP*cL^2/(H112*0.000000001)^5/(EXP(hP*cL/(H112*0.000000001*kB*$B$11))-1))/1000000000000</f>
        <v>44.2811031661391</v>
      </c>
      <c r="L112" s="16" t="n">
        <f aca="false">(2*hP*cL^2/(H112*0.000000001)^5/(EXP(hP*cL/(H112*0.000000001*kB*$B$12))-1))/1000000000000</f>
        <v>6.87634532291375</v>
      </c>
    </row>
    <row r="113" customFormat="false" ht="15" hidden="false" customHeight="false" outlineLevel="0" collapsed="false">
      <c r="H113" s="20" t="n">
        <v>534</v>
      </c>
      <c r="I113" s="27" t="n">
        <f aca="false">$B$14+$B$13*SUMPRODUCT($P$6:$P$27,EXP(0-((H113-$O$6:$O$27)/1.2)^2))</f>
        <v>0.02</v>
      </c>
      <c r="J113" s="16" t="n">
        <f aca="false">($B$15*(2*hP*cL^2/(H113*0.000000001)^5/(EXP(hP*cL/(H113*0.000000001*kB*$B$11))-1))*EXP(-I113)+(2*hP*cL^2/(H113*0.000000001)^5/(EXP(hP*cL/(H113*0.000000001*kB*$B$12))-1))*(1-EXP(-I113)))/1000000000000</f>
        <v>43.4139839828245</v>
      </c>
      <c r="K113" s="16" t="n">
        <f aca="false">$B$15*(2*hP*cL^2/(H113*0.000000001)^5/(EXP(hP*cL/(H113*0.000000001*kB*$B$11))-1))/1000000000000</f>
        <v>44.1515639097066</v>
      </c>
      <c r="L113" s="16" t="n">
        <f aca="false">(2*hP*cL^2/(H113*0.000000001)^5/(EXP(hP*cL/(H113*0.000000001*kB*$B$12))-1))/1000000000000</f>
        <v>6.90254831047842</v>
      </c>
    </row>
    <row r="114" customFormat="false" ht="15" hidden="false" customHeight="false" outlineLevel="0" collapsed="false">
      <c r="H114" s="20" t="n">
        <v>536</v>
      </c>
      <c r="I114" s="27" t="n">
        <f aca="false">$B$14+$B$13*SUMPRODUCT($P$6:$P$27,EXP(0-((H114-$O$6:$O$27)/1.2)^2))</f>
        <v>0.02</v>
      </c>
      <c r="J114" s="16" t="n">
        <f aca="false">($B$15*(2*hP*cL^2/(H114*0.000000001)^5/(EXP(hP*cL/(H114*0.000000001*kB*$B$11))-1))*EXP(-I114)+(2*hP*cL^2/(H114*0.000000001)^5/(EXP(hP*cL/(H114*0.000000001*kB*$B$12))-1))*(1-EXP(-I114)))/1000000000000</f>
        <v>43.2859864901747</v>
      </c>
      <c r="K114" s="16" t="n">
        <f aca="false">$B$15*(2*hP*cL^2/(H114*0.000000001)^5/(EXP(hP*cL/(H114*0.000000001*kB*$B$11))-1))/1000000000000</f>
        <v>44.0204629195525</v>
      </c>
      <c r="L114" s="16" t="n">
        <f aca="false">(2*hP*cL^2/(H114*0.000000001)^5/(EXP(hP*cL/(H114*0.000000001*kB*$B$12))-1))/1000000000000</f>
        <v>6.92817911675208</v>
      </c>
    </row>
    <row r="115" customFormat="false" ht="15" hidden="false" customHeight="false" outlineLevel="0" collapsed="false">
      <c r="H115" s="20" t="n">
        <v>538</v>
      </c>
      <c r="I115" s="27" t="n">
        <f aca="false">$B$14+$B$13*SUMPRODUCT($P$6:$P$27,EXP(0-((H115-$O$6:$O$27)/1.2)^2))</f>
        <v>0.02</v>
      </c>
      <c r="J115" s="16" t="n">
        <f aca="false">($B$15*(2*hP*cL^2/(H115*0.000000001)^5/(EXP(hP*cL/(H115*0.000000001*kB*$B$11))-1))*EXP(-I115)+(2*hP*cL^2/(H115*0.000000001)^5/(EXP(hP*cL/(H115*0.000000001*kB*$B$12))-1))*(1-EXP(-I115)))/1000000000000</f>
        <v>43.1564958899981</v>
      </c>
      <c r="K115" s="16" t="n">
        <f aca="false">$B$15*(2*hP*cL^2/(H115*0.000000001)^5/(EXP(hP*cL/(H115*0.000000001*kB*$B$11))-1))/1000000000000</f>
        <v>43.8878501710422</v>
      </c>
      <c r="L115" s="16" t="n">
        <f aca="false">(2*hP*cL^2/(H115*0.000000001)^5/(EXP(hP*cL/(H115*0.000000001*kB*$B$12))-1))/1000000000000</f>
        <v>6.95324006263719</v>
      </c>
    </row>
    <row r="116" customFormat="false" ht="15" hidden="false" customHeight="false" outlineLevel="0" collapsed="false">
      <c r="H116" s="20" t="n">
        <v>540</v>
      </c>
      <c r="I116" s="27" t="n">
        <f aca="false">$B$14+$B$13*SUMPRODUCT($P$6:$P$27,EXP(0-((H116-$O$6:$O$27)/1.2)^2))</f>
        <v>0.02</v>
      </c>
      <c r="J116" s="16" t="n">
        <f aca="false">($B$15*(2*hP*cL^2/(H116*0.000000001)^5/(EXP(hP*cL/(H116*0.000000001*kB*$B$11))-1))*EXP(-I116)+(2*hP*cL^2/(H116*0.000000001)^5/(EXP(hP*cL/(H116*0.000000001*kB*$B$12))-1))*(1-EXP(-I116)))/1000000000000</f>
        <v>43.0255603844537</v>
      </c>
      <c r="K116" s="16" t="n">
        <f aca="false">$B$15*(2*hP*cL^2/(H116*0.000000001)^5/(EXP(hP*cL/(H116*0.000000001*kB*$B$11))-1))/1000000000000</f>
        <v>43.7537747907327</v>
      </c>
      <c r="L116" s="16" t="n">
        <f aca="false">(2*hP*cL^2/(H116*0.000000001)^5/(EXP(hP*cL/(H116*0.000000001*kB*$B$12))-1))/1000000000000</f>
        <v>6.97773359105754</v>
      </c>
    </row>
    <row r="117" customFormat="false" ht="15" hidden="false" customHeight="false" outlineLevel="0" collapsed="false">
      <c r="H117" s="20" t="n">
        <v>542</v>
      </c>
      <c r="I117" s="27" t="n">
        <f aca="false">$B$14+$B$13*SUMPRODUCT($P$6:$P$27,EXP(0-((H117-$O$6:$O$27)/1.2)^2))</f>
        <v>0.02</v>
      </c>
      <c r="J117" s="16" t="n">
        <f aca="false">($B$15*(2*hP*cL^2/(H117*0.000000001)^5/(EXP(hP*cL/(H117*0.000000001*kB*$B$11))-1))*EXP(-I117)+(2*hP*cL^2/(H117*0.000000001)^5/(EXP(hP*cL/(H117*0.000000001*kB*$B$12))-1))*(1-EXP(-I117)))/1000000000000</f>
        <v>42.8932273522756</v>
      </c>
      <c r="K117" s="16" t="n">
        <f aca="false">$B$15*(2*hP*cL^2/(H117*0.000000001)^5/(EXP(hP*cL/(H117*0.000000001*kB*$B$11))-1))/1000000000000</f>
        <v>43.6182850627429</v>
      </c>
      <c r="L117" s="16" t="n">
        <f aca="false">(2*hP*cL^2/(H117*0.000000001)^5/(EXP(hP*cL/(H117*0.000000001*kB*$B$12))-1))/1000000000000</f>
        <v>7.00166226268372</v>
      </c>
    </row>
    <row r="118" customFormat="false" ht="15" hidden="false" customHeight="false" outlineLevel="0" collapsed="false">
      <c r="H118" s="20" t="n">
        <v>544</v>
      </c>
      <c r="I118" s="27" t="n">
        <f aca="false">$B$14+$B$13*SUMPRODUCT($P$6:$P$27,EXP(0-((H118-$O$6:$O$27)/1.2)^2))</f>
        <v>0.02</v>
      </c>
      <c r="J118" s="16" t="n">
        <f aca="false">($B$15*(2*hP*cL^2/(H118*0.000000001)^5/(EXP(hP*cL/(H118*0.000000001*kB*$B$11))-1))*EXP(-I118)+(2*hP*cL^2/(H118*0.000000001)^5/(EXP(hP*cL/(H118*0.000000001*kB*$B$12))-1))*(1-EXP(-I118)))/1000000000000</f>
        <v>42.7595433551936</v>
      </c>
      <c r="K118" s="16" t="n">
        <f aca="false">$B$15*(2*hP*cL^2/(H118*0.000000001)^5/(EXP(hP*cL/(H118*0.000000001*kB*$B$11))-1))/1000000000000</f>
        <v>43.4814284353893</v>
      </c>
      <c r="L118" s="16" t="n">
        <f aca="false">(2*hP*cL^2/(H118*0.000000001)^5/(EXP(hP*cL/(H118*0.000000001*kB*$B$12))-1))/1000000000000</f>
        <v>7.02502875172817</v>
      </c>
    </row>
    <row r="119" customFormat="false" ht="15" hidden="false" customHeight="false" outlineLevel="0" collapsed="false">
      <c r="H119" s="20" t="n">
        <v>546</v>
      </c>
      <c r="I119" s="27" t="n">
        <f aca="false">$B$14+$B$13*SUMPRODUCT($P$6:$P$27,EXP(0-((H119-$O$6:$O$27)/1.2)^2))</f>
        <v>0.02</v>
      </c>
      <c r="J119" s="16" t="n">
        <f aca="false">($B$15*(2*hP*cL^2/(H119*0.000000001)^5/(EXP(hP*cL/(H119*0.000000001*kB*$B$11))-1))*EXP(-I119)+(2*hP*cL^2/(H119*0.000000001)^5/(EXP(hP*cL/(H119*0.000000001*kB*$B$12))-1))*(1-EXP(-I119)))/1000000000000</f>
        <v>42.6245541445981</v>
      </c>
      <c r="K119" s="16" t="n">
        <f aca="false">$B$15*(2*hP*cL^2/(H119*0.000000001)^5/(EXP(hP*cL/(H119*0.000000001*kB*$B$11))-1))/1000000000000</f>
        <v>43.3432515280688</v>
      </c>
      <c r="L119" s="16" t="n">
        <f aca="false">(2*hP*cL^2/(H119*0.000000001)^5/(EXP(hP*cL/(H119*0.000000001*kB*$B$12))-1))/1000000000000</f>
        <v>7.04783584181064</v>
      </c>
    </row>
    <row r="120" customFormat="false" ht="15" hidden="false" customHeight="false" outlineLevel="0" collapsed="false">
      <c r="H120" s="20" t="n">
        <v>548</v>
      </c>
      <c r="I120" s="27" t="n">
        <f aca="false">$B$14+$B$13*SUMPRODUCT($P$6:$P$27,EXP(0-((H120-$O$6:$O$27)/1.2)^2))</f>
        <v>0.02</v>
      </c>
      <c r="J120" s="16" t="n">
        <f aca="false">($B$15*(2*hP*cL^2/(H120*0.000000001)^5/(EXP(hP*cL/(H120*0.000000001*kB*$B$11))-1))*EXP(-I120)+(2*hP*cL^2/(H120*0.000000001)^5/(EXP(hP*cL/(H120*0.000000001*kB*$B$12))-1))*(1-EXP(-I120)))/1000000000000</f>
        <v>42.4883046684311</v>
      </c>
      <c r="K120" s="16" t="n">
        <f aca="false">$B$15*(2*hP*cL^2/(H120*0.000000001)^5/(EXP(hP*cL/(H120*0.000000001*kB*$B$11))-1))/1000000000000</f>
        <v>43.2038001383713</v>
      </c>
      <c r="L120" s="16" t="n">
        <f aca="false">(2*hP*cL^2/(H120*0.000000001)^5/(EXP(hP*cL/(H120*0.000000001*kB*$B$12))-1))/1000000000000</f>
        <v>7.07008642189436</v>
      </c>
    </row>
    <row r="121" customFormat="false" ht="15" hidden="false" customHeight="false" outlineLevel="0" collapsed="false">
      <c r="H121" s="20" t="n">
        <v>550</v>
      </c>
      <c r="I121" s="27" t="n">
        <f aca="false">$B$14+$B$13*SUMPRODUCT($P$6:$P$27,EXP(0-((H121-$O$6:$O$27)/1.2)^2))</f>
        <v>0.02</v>
      </c>
      <c r="J121" s="16" t="n">
        <f aca="false">($B$15*(2*hP*cL^2/(H121*0.000000001)^5/(EXP(hP*cL/(H121*0.000000001*kB*$B$11))-1))*EXP(-I121)+(2*hP*cL^2/(H121*0.000000001)^5/(EXP(hP*cL/(H121*0.000000001*kB*$B$12))-1))*(1-EXP(-I121)))/1000000000000</f>
        <v>42.3508390782887</v>
      </c>
      <c r="K121" s="16" t="n">
        <f aca="false">$B$15*(2*hP*cL^2/(H121*0.000000001)^5/(EXP(hP*cL/(H121*0.000000001*kB*$B$11))-1))/1000000000000</f>
        <v>43.0631192494057</v>
      </c>
      <c r="L121" s="16" t="n">
        <f aca="false">(2*hP*cL^2/(H121*0.000000001)^5/(EXP(hP*cL/(H121*0.000000001*kB*$B$12))-1))/1000000000000</f>
        <v>7.0917834822936</v>
      </c>
    </row>
    <row r="122" customFormat="false" ht="15" hidden="false" customHeight="false" outlineLevel="0" collapsed="false">
      <c r="H122" s="20" t="n">
        <v>552</v>
      </c>
      <c r="I122" s="27" t="n">
        <f aca="false">$B$14+$B$13*SUMPRODUCT($P$6:$P$27,EXP(0-((H122-$O$6:$O$27)/1.2)^2))</f>
        <v>0.02</v>
      </c>
      <c r="J122" s="16" t="n">
        <f aca="false">($B$15*(2*hP*cL^2/(H122*0.000000001)^5/(EXP(hP*cL/(H122*0.000000001*kB*$B$11))-1))*EXP(-I122)+(2*hP*cL^2/(H122*0.000000001)^5/(EXP(hP*cL/(H122*0.000000001*kB*$B$12))-1))*(1-EXP(-I122)))/1000000000000</f>
        <v>42.2122007367176</v>
      </c>
      <c r="K122" s="16" t="n">
        <f aca="false">$B$15*(2*hP*cL^2/(H122*0.000000001)^5/(EXP(hP*cL/(H122*0.000000001*kB*$B$11))-1))/1000000000000</f>
        <v>42.9212530373238</v>
      </c>
      <c r="L122" s="16" t="n">
        <f aca="false">(2*hP*cL^2/(H122*0.000000001)^5/(EXP(hP*cL/(H122*0.000000001*kB*$B$12))-1))/1000000000000</f>
        <v>7.11293011075276</v>
      </c>
    </row>
    <row r="123" customFormat="false" ht="15" hidden="false" customHeight="false" outlineLevel="0" collapsed="false">
      <c r="H123" s="20" t="n">
        <v>554</v>
      </c>
      <c r="I123" s="27" t="n">
        <f aca="false">$B$14+$B$13*SUMPRODUCT($P$6:$P$27,EXP(0-((H123-$O$6:$O$27)/1.2)^2))</f>
        <v>0.02</v>
      </c>
      <c r="J123" s="16" t="n">
        <f aca="false">($B$15*(2*hP*cL^2/(H123*0.000000001)^5/(EXP(hP*cL/(H123*0.000000001*kB*$B$11))-1))*EXP(-I123)+(2*hP*cL^2/(H123*0.000000001)^5/(EXP(hP*cL/(H123*0.000000001*kB*$B$12))-1))*(1-EXP(-I123)))/1000000000000</f>
        <v>42.0724322246922</v>
      </c>
      <c r="K123" s="16" t="n">
        <f aca="false">$B$15*(2*hP*cL^2/(H123*0.000000001)^5/(EXP(hP*cL/(H123*0.000000001*kB*$B$11))-1))/1000000000000</f>
        <v>42.7782448790258</v>
      </c>
      <c r="L123" s="16" t="n">
        <f aca="false">(2*hP*cL^2/(H123*0.000000001)^5/(EXP(hP*cL/(H123*0.000000001*kB*$B$12))-1))/1000000000000</f>
        <v>7.13352948859718</v>
      </c>
    </row>
    <row r="124" customFormat="false" ht="15" hidden="false" customHeight="false" outlineLevel="0" collapsed="false">
      <c r="H124" s="20" t="n">
        <v>556</v>
      </c>
      <c r="I124" s="27" t="n">
        <f aca="false">$B$14+$B$13*SUMPRODUCT($P$6:$P$27,EXP(0-((H124-$O$6:$O$27)/1.2)^2))</f>
        <v>0.02</v>
      </c>
      <c r="J124" s="16" t="n">
        <f aca="false">($B$15*(2*hP*cL^2/(H124*0.000000001)^5/(EXP(hP*cL/(H124*0.000000001*kB*$B$11))-1))*EXP(-I124)+(2*hP*cL^2/(H124*0.000000001)^5/(EXP(hP*cL/(H124*0.000000001*kB*$B$12))-1))*(1-EXP(-I124)))/1000000000000</f>
        <v>41.9315753492573</v>
      </c>
      <c r="K124" s="16" t="n">
        <f aca="false">$B$15*(2*hP*cL^2/(H124*0.000000001)^5/(EXP(hP*cL/(H124*0.000000001*kB*$B$11))-1))/1000000000000</f>
        <v>42.6341373600335</v>
      </c>
      <c r="L124" s="16" t="n">
        <f aca="false">(2*hP*cL^2/(H124*0.000000001)^5/(EXP(hP*cL/(H124*0.000000001*kB*$B$12))-1))/1000000000000</f>
        <v>7.15358488695617</v>
      </c>
    </row>
    <row r="125" customFormat="false" ht="15" hidden="false" customHeight="false" outlineLevel="0" collapsed="false">
      <c r="H125" s="20" t="n">
        <v>558</v>
      </c>
      <c r="I125" s="27" t="n">
        <f aca="false">$B$14+$B$13*SUMPRODUCT($P$6:$P$27,EXP(0-((H125-$O$6:$O$27)/1.2)^2))</f>
        <v>0.02</v>
      </c>
      <c r="J125" s="16" t="n">
        <f aca="false">($B$15*(2*hP*cL^2/(H125*0.000000001)^5/(EXP(hP*cL/(H125*0.000000001*kB*$B$11))-1))*EXP(-I125)+(2*hP*cL^2/(H125*0.000000001)^5/(EXP(hP*cL/(H125*0.000000001*kB*$B$12))-1))*(1-EXP(-I125)))/1000000000000</f>
        <v>41.7896711513226</v>
      </c>
      <c r="K125" s="16" t="n">
        <f aca="false">$B$15*(2*hP*cL^2/(H125*0.000000001)^5/(EXP(hP*cL/(H125*0.000000001*kB*$B$11))-1))/1000000000000</f>
        <v>42.4889722825176</v>
      </c>
      <c r="L125" s="16" t="n">
        <f aca="false">(2*hP*cL^2/(H125*0.000000001)^5/(EXP(hP*cL/(H125*0.000000001*kB*$B$12))-1))/1000000000000</f>
        <v>7.17309966305789</v>
      </c>
    </row>
    <row r="126" customFormat="false" ht="15" hidden="false" customHeight="false" outlineLevel="0" collapsed="false">
      <c r="H126" s="20" t="n">
        <v>560</v>
      </c>
      <c r="I126" s="27" t="n">
        <f aca="false">$B$14+$B$13*SUMPRODUCT($P$6:$P$27,EXP(0-((H126-$O$6:$O$27)/1.2)^2))</f>
        <v>0.02</v>
      </c>
      <c r="J126" s="16" t="n">
        <f aca="false">($B$15*(2*hP*cL^2/(H126*0.000000001)^5/(EXP(hP*cL/(H126*0.000000001*kB*$B$11))-1))*EXP(-I126)+(2*hP*cL^2/(H126*0.000000001)^5/(EXP(hP*cL/(H126*0.000000001*kB*$B$12))-1))*(1-EXP(-I126)))/1000000000000</f>
        <v>41.6467599135965</v>
      </c>
      <c r="K126" s="16" t="n">
        <f aca="false">$B$15*(2*hP*cL^2/(H126*0.000000001)^5/(EXP(hP*cL/(H126*0.000000001*kB*$B$11))-1))/1000000000000</f>
        <v>42.3427906734645</v>
      </c>
      <c r="L126" s="16" t="n">
        <f aca="false">(2*hP*cL^2/(H126*0.000000001)^5/(EXP(hP*cL/(H126*0.000000001*kB*$B$12))-1))/1000000000000</f>
        <v>7.1920772565964</v>
      </c>
    </row>
    <row r="127" customFormat="false" ht="15" hidden="false" customHeight="false" outlineLevel="0" collapsed="false">
      <c r="H127" s="20" t="n">
        <v>562</v>
      </c>
      <c r="I127" s="27" t="n">
        <f aca="false">$B$14+$B$13*SUMPRODUCT($P$6:$P$27,EXP(0-((H127-$O$6:$O$27)/1.2)^2))</f>
        <v>0.02</v>
      </c>
      <c r="J127" s="16" t="n">
        <f aca="false">($B$15*(2*hP*cL^2/(H127*0.000000001)^5/(EXP(hP*cL/(H127*0.000000001*kB*$B$11))-1))*EXP(-I127)+(2*hP*cL^2/(H127*0.000000001)^5/(EXP(hP*cL/(H127*0.000000001*kB*$B$12))-1))*(1-EXP(-I127)))/1000000000000</f>
        <v>41.5028811686453</v>
      </c>
      <c r="K127" s="16" t="n">
        <f aca="false">$B$15*(2*hP*cL^2/(H127*0.000000001)^5/(EXP(hP*cL/(H127*0.000000001*kB*$B$11))-1))/1000000000000</f>
        <v>42.1956327929711</v>
      </c>
      <c r="L127" s="16" t="n">
        <f aca="false">(2*hP*cL^2/(H127*0.000000001)^5/(EXP(hP*cL/(H127*0.000000001*kB*$B$12))-1))/1000000000000</f>
        <v>7.21052118617069</v>
      </c>
    </row>
    <row r="128" customFormat="false" ht="15" hidden="false" customHeight="false" outlineLevel="0" collapsed="false">
      <c r="H128" s="20" t="n">
        <v>564</v>
      </c>
      <c r="I128" s="27" t="n">
        <f aca="false">$B$14+$B$13*SUMPRODUCT($P$6:$P$27,EXP(0-((H128-$O$6:$O$27)/1.2)^2))</f>
        <v>0.02</v>
      </c>
      <c r="J128" s="16" t="n">
        <f aca="false">($B$15*(2*hP*cL^2/(H128*0.000000001)^5/(EXP(hP*cL/(H128*0.000000001*kB*$B$11))-1))*EXP(-I128)+(2*hP*cL^2/(H128*0.000000001)^5/(EXP(hP*cL/(H128*0.000000001*kB*$B$12))-1))*(1-EXP(-I128)))/1000000000000</f>
        <v>41.3580737070679</v>
      </c>
      <c r="K128" s="16" t="n">
        <f aca="false">$B$15*(2*hP*cL^2/(H128*0.000000001)^5/(EXP(hP*cL/(H128*0.000000001*kB*$B$11))-1))/1000000000000</f>
        <v>42.0475381426545</v>
      </c>
      <c r="L128" s="16" t="n">
        <f aca="false">(2*hP*cL^2/(H128*0.000000001)^5/(EXP(hP*cL/(H128*0.000000001*kB*$B$12))-1))/1000000000000</f>
        <v>7.2284350457956</v>
      </c>
    </row>
    <row r="129" customFormat="false" ht="15" hidden="false" customHeight="false" outlineLevel="0" collapsed="false">
      <c r="H129" s="20" t="n">
        <v>566</v>
      </c>
      <c r="I129" s="27" t="n">
        <f aca="false">$B$14+$B$13*SUMPRODUCT($P$6:$P$27,EXP(0-((H129-$O$6:$O$27)/1.2)^2))</f>
        <v>0.02</v>
      </c>
      <c r="J129" s="16" t="n">
        <f aca="false">($B$15*(2*hP*cL^2/(H129*0.000000001)^5/(EXP(hP*cL/(H129*0.000000001*kB*$B$11))-1))*EXP(-I129)+(2*hP*cL^2/(H129*0.000000001)^5/(EXP(hP*cL/(H129*0.000000001*kB*$B$12))-1))*(1-EXP(-I129)))/1000000000000</f>
        <v>41.212375585772</v>
      </c>
      <c r="K129" s="16" t="n">
        <f aca="false">$B$15*(2*hP*cL^2/(H129*0.000000001)^5/(EXP(hP*cL/(H129*0.000000001*kB*$B$11))-1))/1000000000000</f>
        <v>41.8985454741645</v>
      </c>
      <c r="L129" s="16" t="n">
        <f aca="false">(2*hP*cL^2/(H129*0.000000001)^5/(EXP(hP*cL/(H129*0.000000001*kB*$B$12))-1))/1000000000000</f>
        <v>7.24582250148431</v>
      </c>
    </row>
    <row r="130" customFormat="false" ht="15" hidden="false" customHeight="false" outlineLevel="0" collapsed="false">
      <c r="H130" s="20" t="n">
        <v>568</v>
      </c>
      <c r="I130" s="27" t="n">
        <f aca="false">$B$14+$B$13*SUMPRODUCT($P$6:$P$27,EXP(0-((H130-$O$6:$O$27)/1.2)^2))</f>
        <v>0.02</v>
      </c>
      <c r="J130" s="16" t="n">
        <f aca="false">($B$15*(2*hP*cL^2/(H130*0.000000001)^5/(EXP(hP*cL/(H130*0.000000001*kB*$B$11))-1))*EXP(-I130)+(2*hP*cL^2/(H130*0.000000001)^5/(EXP(hP*cL/(H130*0.000000001*kB*$B$12))-1))*(1-EXP(-I130)))/1000000000000</f>
        <v>41.0658241363428</v>
      </c>
      <c r="K130" s="16" t="n">
        <f aca="false">$B$15*(2*hP*cL^2/(H130*0.000000001)^5/(EXP(hP*cL/(H130*0.000000001*kB*$B$11))-1))/1000000000000</f>
        <v>41.7486927977891</v>
      </c>
      <c r="L130" s="16" t="n">
        <f aca="false">(2*hP*cL^2/(H130*0.000000001)^5/(EXP(hP*cL/(H130*0.000000001*kB*$B$12))-1))/1000000000000</f>
        <v>7.26268728790238</v>
      </c>
    </row>
    <row r="131" customFormat="false" ht="15" hidden="false" customHeight="false" outlineLevel="0" collapsed="false">
      <c r="H131" s="20" t="n">
        <v>570</v>
      </c>
      <c r="I131" s="27" t="n">
        <f aca="false">$B$14+$B$13*SUMPRODUCT($P$6:$P$27,EXP(0-((H131-$O$6:$O$27)/1.2)^2))</f>
        <v>0.02</v>
      </c>
      <c r="J131" s="16" t="n">
        <f aca="false">($B$15*(2*hP*cL^2/(H131*0.000000001)^5/(EXP(hP*cL/(H131*0.000000001*kB*$B$11))-1))*EXP(-I131)+(2*hP*cL^2/(H131*0.000000001)^5/(EXP(hP*cL/(H131*0.000000001*kB*$B$12))-1))*(1-EXP(-I131)))/1000000000000</f>
        <v>40.9184559734927</v>
      </c>
      <c r="K131" s="16" t="n">
        <f aca="false">$B$15*(2*hP*cL^2/(H131*0.000000001)^5/(EXP(hP*cL/(H131*0.000000001*kB*$B$11))-1))/1000000000000</f>
        <v>41.598017391141</v>
      </c>
      <c r="L131" s="16" t="n">
        <f aca="false">(2*hP*cL^2/(H131*0.000000001)^5/(EXP(hP*cL/(H131*0.000000001*kB*$B$12))-1))/1000000000000</f>
        <v>7.2790332050928</v>
      </c>
    </row>
    <row r="132" customFormat="false" ht="15" hidden="false" customHeight="false" outlineLevel="0" collapsed="false">
      <c r="H132" s="20" t="n">
        <v>572</v>
      </c>
      <c r="I132" s="27" t="n">
        <f aca="false">$B$14+$B$13*SUMPRODUCT($P$6:$P$27,EXP(0-((H132-$O$6:$O$27)/1.2)^2))</f>
        <v>0.02</v>
      </c>
      <c r="J132" s="16" t="n">
        <f aca="false">($B$15*(2*hP*cL^2/(H132*0.000000001)^5/(EXP(hP*cL/(H132*0.000000001*kB*$B$11))-1))*EXP(-I132)+(2*hP*cL^2/(H132*0.000000001)^5/(EXP(hP*cL/(H132*0.000000001*kB*$B$12))-1))*(1-EXP(-I132)))/1000000000000</f>
        <v>40.7703070035821</v>
      </c>
      <c r="K132" s="16" t="n">
        <f aca="false">$B$15*(2*hP*cL^2/(H132*0.000000001)^5/(EXP(hP*cL/(H132*0.000000001*kB*$B$11))-1))/1000000000000</f>
        <v>41.4465558079151</v>
      </c>
      <c r="L132" s="16" t="n">
        <f aca="false">(2*hP*cL^2/(H132*0.000000001)^5/(EXP(hP*cL/(H132*0.000000001*kB*$B$12))-1))/1000000000000</f>
        <v>7.29486411527165</v>
      </c>
    </row>
    <row r="133" customFormat="false" ht="15" hidden="false" customHeight="false" outlineLevel="0" collapsed="false">
      <c r="H133" s="20" t="n">
        <v>574</v>
      </c>
      <c r="I133" s="27" t="n">
        <f aca="false">$B$14+$B$13*SUMPRODUCT($P$6:$P$27,EXP(0-((H133-$O$6:$O$27)/1.2)^2))</f>
        <v>0.02</v>
      </c>
      <c r="J133" s="16" t="n">
        <f aca="false">($B$15*(2*hP*cL^2/(H133*0.000000001)^5/(EXP(hP*cL/(H133*0.000000001*kB*$B$11))-1))*EXP(-I133)+(2*hP*cL^2/(H133*0.000000001)^5/(EXP(hP*cL/(H133*0.000000001*kB*$B$12))-1))*(1-EXP(-I133)))/1000000000000</f>
        <v>40.6214124332018</v>
      </c>
      <c r="K133" s="16" t="n">
        <f aca="false">$B$15*(2*hP*cL^2/(H133*0.000000001)^5/(EXP(hP*cL/(H133*0.000000001*kB*$B$11))-1))/1000000000000</f>
        <v>41.2943438867081</v>
      </c>
      <c r="L133" s="16" t="n">
        <f aca="false">(2*hP*cL^2/(H133*0.000000001)^5/(EXP(hP*cL/(H133*0.000000001*kB*$B$12))-1))/1000000000000</f>
        <v>7.31018393969429</v>
      </c>
    </row>
    <row r="134" customFormat="false" ht="15" hidden="false" customHeight="false" outlineLevel="0" collapsed="false">
      <c r="H134" s="20" t="n">
        <v>576</v>
      </c>
      <c r="I134" s="27" t="n">
        <f aca="false">$B$14+$B$13*SUMPRODUCT($P$6:$P$27,EXP(0-((H134-$O$6:$O$27)/1.2)^2))</f>
        <v>0.02</v>
      </c>
      <c r="J134" s="16" t="n">
        <f aca="false">($B$15*(2*hP*cL^2/(H134*0.000000001)^5/(EXP(hP*cL/(H134*0.000000001*kB*$B$11))-1))*EXP(-I134)+(2*hP*cL^2/(H134*0.000000001)^5/(EXP(hP*cL/(H134*0.000000001*kB*$B$12))-1))*(1-EXP(-I134)))/1000000000000</f>
        <v>40.4718067778081</v>
      </c>
      <c r="K134" s="16" t="n">
        <f aca="false">$B$15*(2*hP*cL^2/(H134*0.000000001)^5/(EXP(hP*cL/(H134*0.000000001*kB*$B$11))-1))/1000000000000</f>
        <v>41.1414167598893</v>
      </c>
      <c r="L134" s="16" t="n">
        <f aca="false">(2*hP*cL^2/(H134*0.000000001)^5/(EXP(hP*cL/(H134*0.000000001*kB*$B$12))-1))/1000000000000</f>
        <v>7.32499665559123</v>
      </c>
    </row>
    <row r="135" customFormat="false" ht="15" hidden="false" customHeight="false" outlineLevel="0" collapsed="false">
      <c r="H135" s="20" t="n">
        <v>578</v>
      </c>
      <c r="I135" s="27" t="n">
        <f aca="false">$B$14+$B$13*SUMPRODUCT($P$6:$P$27,EXP(0-((H135-$O$6:$O$27)/1.2)^2))</f>
        <v>0.02</v>
      </c>
      <c r="J135" s="16" t="n">
        <f aca="false">($B$15*(2*hP*cL^2/(H135*0.000000001)^5/(EXP(hP*cL/(H135*0.000000001*kB*$B$11))-1))*EXP(-I135)+(2*hP*cL^2/(H135*0.000000001)^5/(EXP(hP*cL/(H135*0.000000001*kB*$B$12))-1))*(1-EXP(-I135)))/1000000000000</f>
        <v>40.3215238704014</v>
      </c>
      <c r="K135" s="16" t="n">
        <f aca="false">$B$15*(2*hP*cL^2/(H135*0.000000001)^5/(EXP(hP*cL/(H135*0.000000001*kB*$B$11))-1))/1000000000000</f>
        <v>40.9878088625154</v>
      </c>
      <c r="L135" s="16" t="n">
        <f aca="false">(2*hP*cL^2/(H135*0.000000001)^5/(EXP(hP*cL/(H135*0.000000001*kB*$B$12))-1))/1000000000000</f>
        <v>7.33930629317327</v>
      </c>
    </row>
    <row r="136" customFormat="false" ht="15" hidden="false" customHeight="false" outlineLevel="0" collapsed="false">
      <c r="H136" s="20" t="n">
        <v>580</v>
      </c>
      <c r="I136" s="27" t="n">
        <f aca="false">$B$14+$B$13*SUMPRODUCT($P$6:$P$27,EXP(0-((H136-$O$6:$O$27)/1.2)^2))</f>
        <v>0.02</v>
      </c>
      <c r="J136" s="16" t="n">
        <f aca="false">($B$15*(2*hP*cL^2/(H136*0.000000001)^5/(EXP(hP*cL/(H136*0.000000001*kB*$B$11))-1))*EXP(-I136)+(2*hP*cL^2/(H136*0.000000001)^5/(EXP(hP*cL/(H136*0.000000001*kB*$B$12))-1))*(1-EXP(-I136)))/1000000000000</f>
        <v>40.1705968702407</v>
      </c>
      <c r="K136" s="16" t="n">
        <f aca="false">$B$15*(2*hP*cL^2/(H136*0.000000001)^5/(EXP(hP*cL/(H136*0.000000001*kB*$B$11))-1))/1000000000000</f>
        <v>40.83355394128</v>
      </c>
      <c r="L136" s="16" t="n">
        <f aca="false">(2*hP*cL^2/(H136*0.000000001)^5/(EXP(hP*cL/(H136*0.000000001*kB*$B$12))-1))/1000000000000</f>
        <v>7.35311693270562</v>
      </c>
    </row>
    <row r="137" customFormat="false" ht="15" hidden="false" customHeight="false" outlineLevel="0" collapsed="false">
      <c r="H137" s="20" t="n">
        <v>582</v>
      </c>
      <c r="I137" s="27" t="n">
        <f aca="false">$B$14+$B$13*SUMPRODUCT($P$6:$P$27,EXP(0-((H137-$O$6:$O$27)/1.2)^2))</f>
        <v>0.02</v>
      </c>
      <c r="J137" s="16" t="n">
        <f aca="false">($B$15*(2*hP*cL^2/(H137*0.000000001)^5/(EXP(hP*cL/(H137*0.000000001*kB*$B$11))-1))*EXP(-I137)+(2*hP*cL^2/(H137*0.000000001)^5/(EXP(hP*cL/(H137*0.000000001*kB*$B$12))-1))*(1-EXP(-I137)))/1000000000000</f>
        <v>40.019058271585</v>
      </c>
      <c r="K137" s="16" t="n">
        <f aca="false">$B$15*(2*hP*cL^2/(H137*0.000000001)^5/(EXP(hP*cL/(H137*0.000000001*kB*$B$11))-1))/1000000000000</f>
        <v>40.6786850634896</v>
      </c>
      <c r="L137" s="16" t="n">
        <f aca="false">(2*hP*cL^2/(H137*0.000000001)^5/(EXP(hP*cL/(H137*0.000000001*kB*$B$12))-1))/1000000000000</f>
        <v>7.36643270165</v>
      </c>
    </row>
    <row r="138" customFormat="false" ht="15" hidden="false" customHeight="false" outlineLevel="0" collapsed="false">
      <c r="H138" s="20" t="n">
        <v>584</v>
      </c>
      <c r="I138" s="27" t="n">
        <f aca="false">$B$14+$B$13*SUMPRODUCT($P$6:$P$27,EXP(0-((H138-$O$6:$O$27)/1.2)^2))</f>
        <v>0.02</v>
      </c>
      <c r="J138" s="16" t="n">
        <f aca="false">($B$15*(2*hP*cL^2/(H138*0.000000001)^5/(EXP(hP*cL/(H138*0.000000001*kB*$B$11))-1))*EXP(-I138)+(2*hP*cL^2/(H138*0.000000001)^5/(EXP(hP*cL/(H138*0.000000001*kB*$B$12))-1))*(1-EXP(-I138)))/1000000000000</f>
        <v>39.8669399124554</v>
      </c>
      <c r="K138" s="16" t="n">
        <f aca="false">$B$15*(2*hP*cL^2/(H138*0.000000001)^5/(EXP(hP*cL/(H138*0.000000001*kB*$B$11))-1))/1000000000000</f>
        <v>40.5232346260584</v>
      </c>
      <c r="L138" s="16" t="n">
        <f aca="false">(2*hP*cL^2/(H138*0.000000001)^5/(EXP(hP*cL/(H138*0.000000001*kB*$B$12))-1))/1000000000000</f>
        <v>7.37925777187434</v>
      </c>
    </row>
    <row r="139" customFormat="false" ht="15" hidden="false" customHeight="false" outlineLevel="0" collapsed="false">
      <c r="H139" s="20" t="n">
        <v>586</v>
      </c>
      <c r="I139" s="27" t="n">
        <f aca="false">$B$14+$B$13*SUMPRODUCT($P$6:$P$27,EXP(0-((H139-$O$6:$O$27)/1.2)^2))</f>
        <v>0.02</v>
      </c>
      <c r="J139" s="16" t="n">
        <f aca="false">($B$15*(2*hP*cL^2/(H139*0.000000001)^5/(EXP(hP*cL/(H139*0.000000001*kB*$B$11))-1))*EXP(-I139)+(2*hP*cL^2/(H139*0.000000001)^5/(EXP(hP*cL/(H139*0.000000001*kB*$B$12))-1))*(1-EXP(-I139)))/1000000000000</f>
        <v>39.7142729834099</v>
      </c>
      <c r="K139" s="16" t="n">
        <f aca="false">$B$15*(2*hP*cL^2/(H139*0.000000001)^5/(EXP(hP*cL/(H139*0.000000001*kB*$B$11))-1))/1000000000000</f>
        <v>40.3672343645163</v>
      </c>
      <c r="L139" s="16" t="n">
        <f aca="false">(2*hP*cL^2/(H139*0.000000001)^5/(EXP(hP*cL/(H139*0.000000001*kB*$B$12))-1))/1000000000000</f>
        <v>7.3915963569295</v>
      </c>
    </row>
    <row r="140" customFormat="false" ht="15" hidden="false" customHeight="false" outlineLevel="0" collapsed="false">
      <c r="H140" s="20" t="n">
        <v>588</v>
      </c>
      <c r="I140" s="27" t="n">
        <f aca="false">$B$14+$B$13*SUMPRODUCT($P$6:$P$27,EXP(0-((H140-$O$6:$O$27)/1.2)^2))</f>
        <v>0.02</v>
      </c>
      <c r="J140" s="16" t="n">
        <f aca="false">($B$15*(2*hP*cL^2/(H140*0.000000001)^5/(EXP(hP*cL/(H140*0.000000001*kB*$B$11))-1))*EXP(-I140)+(2*hP*cL^2/(H140*0.000000001)^5/(EXP(hP*cL/(H140*0.000000001*kB*$B$12))-1))*(1-EXP(-I140)))/1000000000000</f>
        <v>39.5610880363244</v>
      </c>
      <c r="K140" s="16" t="n">
        <f aca="false">$B$15*(2*hP*cL^2/(H140*0.000000001)^5/(EXP(hP*cL/(H140*0.000000001*kB*$B$11))-1))/1000000000000</f>
        <v>40.2107153620202</v>
      </c>
      <c r="L140" s="16" t="n">
        <f aca="false">(2*hP*cL^2/(H140*0.000000001)^5/(EXP(hP*cL/(H140*0.000000001*kB*$B$12))-1))/1000000000000</f>
        <v>7.40345270939205</v>
      </c>
    </row>
    <row r="141" customFormat="false" ht="15" hidden="false" customHeight="false" outlineLevel="0" collapsed="false">
      <c r="H141" s="20" t="n">
        <v>590</v>
      </c>
      <c r="I141" s="27" t="n">
        <f aca="false">$B$14+$B$13*SUMPRODUCT($P$6:$P$27,EXP(0-((H141-$O$6:$O$27)/1.2)^2))</f>
        <v>0.02</v>
      </c>
      <c r="J141" s="16" t="n">
        <f aca="false">($B$15*(2*hP*cL^2/(H141*0.000000001)^5/(EXP(hP*cL/(H141*0.000000001*kB*$B$11))-1))*EXP(-I141)+(2*hP*cL^2/(H141*0.000000001)^5/(EXP(hP*cL/(H141*0.000000001*kB*$B$12))-1))*(1-EXP(-I141)))/1000000000000</f>
        <v>39.4074149931733</v>
      </c>
      <c r="K141" s="16" t="n">
        <f aca="false">$B$15*(2*hP*cL^2/(H141*0.000000001)^5/(EXP(hP*cL/(H141*0.000000001*kB*$B$11))-1))/1000000000000</f>
        <v>40.0537080583646</v>
      </c>
      <c r="L141" s="16" t="n">
        <f aca="false">(2*hP*cL^2/(H141*0.000000001)^5/(EXP(hP*cL/(H141*0.000000001*kB*$B$12))-1))/1000000000000</f>
        <v>7.41483111827261</v>
      </c>
    </row>
    <row r="142" customFormat="false" ht="15" hidden="false" customHeight="false" outlineLevel="0" collapsed="false">
      <c r="H142" s="20" t="n">
        <v>592</v>
      </c>
      <c r="I142" s="27" t="n">
        <f aca="false">$B$14+$B$13*SUMPRODUCT($P$6:$P$27,EXP(0-((H142-$O$6:$O$27)/1.2)^2))</f>
        <v>0.02</v>
      </c>
      <c r="J142" s="16" t="n">
        <f aca="false">($B$15*(2*hP*cL^2/(H142*0.000000001)^5/(EXP(hP*cL/(H142*0.000000001*kB*$B$11))-1))*EXP(-I142)+(2*hP*cL^2/(H142*0.000000001)^5/(EXP(hP*cL/(H142*0.000000001*kB*$B$12))-1))*(1-EXP(-I142)))/1000000000000</f>
        <v>39.2532831548036</v>
      </c>
      <c r="K142" s="16" t="n">
        <f aca="false">$B$15*(2*hP*cL^2/(H142*0.000000001)^5/(EXP(hP*cL/(H142*0.000000001*kB*$B$11))-1))/1000000000000</f>
        <v>39.8962422589845</v>
      </c>
      <c r="L142" s="16" t="n">
        <f aca="false">(2*hP*cL^2/(H142*0.000000001)^5/(EXP(hP*cL/(H142*0.000000001*kB*$B$12))-1))/1000000000000</f>
        <v>7.42573590648892</v>
      </c>
    </row>
    <row r="143" customFormat="false" ht="15" hidden="false" customHeight="false" outlineLevel="0" collapsed="false">
      <c r="H143" s="20" t="n">
        <v>594</v>
      </c>
      <c r="I143" s="27" t="n">
        <f aca="false">$B$14+$B$13*SUMPRODUCT($P$6:$P$27,EXP(0-((H143-$O$6:$O$27)/1.2)^2))</f>
        <v>0.02</v>
      </c>
      <c r="J143" s="16" t="n">
        <f aca="false">($B$15*(2*hP*cL^2/(H143*0.000000001)^5/(EXP(hP*cL/(H143*0.000000001*kB*$B$11))-1))*EXP(-I143)+(2*hP*cL^2/(H143*0.000000001)^5/(EXP(hP*cL/(H143*0.000000001*kB*$B$12))-1))*(1-EXP(-I143)))/1000000000000</f>
        <v>39.0987212096976</v>
      </c>
      <c r="K143" s="16" t="n">
        <f aca="false">$B$15*(2*hP*cL^2/(H143*0.000000001)^5/(EXP(hP*cL/(H143*0.000000001*kB*$B$11))-1))/1000000000000</f>
        <v>39.7383471439436</v>
      </c>
      <c r="L143" s="16" t="n">
        <f aca="false">(2*hP*cL^2/(H143*0.000000001)^5/(EXP(hP*cL/(H143*0.000000001*kB*$B$12))-1))/1000000000000</f>
        <v>7.43617142840298</v>
      </c>
    </row>
    <row r="144" customFormat="false" ht="15" hidden="false" customHeight="false" outlineLevel="0" collapsed="false">
      <c r="H144" s="20" t="n">
        <v>596</v>
      </c>
      <c r="I144" s="27" t="n">
        <f aca="false">$B$14+$B$13*SUMPRODUCT($P$6:$P$27,EXP(0-((H144-$O$6:$O$27)/1.2)^2))</f>
        <v>0.02</v>
      </c>
      <c r="J144" s="16" t="n">
        <f aca="false">($B$15*(2*hP*cL^2/(H144*0.000000001)^5/(EXP(hP*cL/(H144*0.000000001*kB*$B$11))-1))*EXP(-I144)+(2*hP*cL^2/(H144*0.000000001)^5/(EXP(hP*cL/(H144*0.000000001*kB*$B$12))-1))*(1-EXP(-I144)))/1000000000000</f>
        <v>38.9437572427163</v>
      </c>
      <c r="K144" s="16" t="n">
        <f aca="false">$B$15*(2*hP*cL^2/(H144*0.000000001)^5/(EXP(hP*cL/(H144*0.000000001*kB*$B$11))-1))/1000000000000</f>
        <v>39.5800512769044</v>
      </c>
      <c r="L144" s="16" t="n">
        <f aca="false">(2*hP*cL^2/(H144*0.000000001)^5/(EXP(hP*cL/(H144*0.000000001*kB*$B$12))-1))/1000000000000</f>
        <v>7.44614206742122</v>
      </c>
    </row>
    <row r="145" customFormat="false" ht="15" hidden="false" customHeight="false" outlineLevel="0" collapsed="false">
      <c r="H145" s="20" t="n">
        <v>598</v>
      </c>
      <c r="I145" s="27" t="n">
        <f aca="false">$B$14+$B$13*SUMPRODUCT($P$6:$P$27,EXP(0-((H145-$O$6:$O$27)/1.2)^2))</f>
        <v>0.02</v>
      </c>
      <c r="J145" s="16" t="n">
        <f aca="false">($B$15*(2*hP*cL^2/(H145*0.000000001)^5/(EXP(hP*cL/(H145*0.000000001*kB*$B$11))-1))*EXP(-I145)+(2*hP*cL^2/(H145*0.000000001)^5/(EXP(hP*cL/(H145*0.000000001*kB*$B$12))-1))*(1-EXP(-I145)))/1000000000000</f>
        <v>38.7884187438221</v>
      </c>
      <c r="K145" s="16" t="n">
        <f aca="false">$B$15*(2*hP*cL^2/(H145*0.000000001)^5/(EXP(hP*cL/(H145*0.000000001*kB*$B$11))-1))/1000000000000</f>
        <v>39.4213826140729</v>
      </c>
      <c r="L145" s="16" t="n">
        <f aca="false">(2*hP*cL^2/(H145*0.000000001)^5/(EXP(hP*cL/(H145*0.000000001*kB*$B$12))-1))/1000000000000</f>
        <v>7.45565223365724</v>
      </c>
    </row>
    <row r="146" customFormat="false" ht="15" hidden="false" customHeight="false" outlineLevel="0" collapsed="false">
      <c r="H146" s="20" t="n">
        <v>600</v>
      </c>
      <c r="I146" s="27" t="n">
        <f aca="false">$B$14+$B$13*SUMPRODUCT($P$6:$P$27,EXP(0-((H146-$O$6:$O$27)/1.2)^2))</f>
        <v>0.02</v>
      </c>
      <c r="J146" s="16" t="n">
        <f aca="false">($B$15*(2*hP*cL^2/(H146*0.000000001)^5/(EXP(hP*cL/(H146*0.000000001*kB*$B$11))-1))*EXP(-I146)+(2*hP*cL^2/(H146*0.000000001)^5/(EXP(hP*cL/(H146*0.000000001*kB*$B$12))-1))*(1-EXP(-I146)))/1000000000000</f>
        <v>38.6327326167717</v>
      </c>
      <c r="K146" s="16" t="n">
        <f aca="false">$B$15*(2*hP*cL^2/(H146*0.000000001)^5/(EXP(hP*cL/(H146*0.000000001*kB*$B$11))-1))/1000000000000</f>
        <v>39.2623685131141</v>
      </c>
      <c r="L146" s="16" t="n">
        <f aca="false">(2*hP*cL^2/(H146*0.000000001)^5/(EXP(hP*cL/(H146*0.000000001*kB*$B$12))-1))/1000000000000</f>
        <v>7.46470636165599</v>
      </c>
    </row>
    <row r="147" customFormat="false" ht="15" hidden="false" customHeight="false" outlineLevel="0" collapsed="false">
      <c r="H147" s="20" t="n">
        <v>602</v>
      </c>
      <c r="I147" s="27" t="n">
        <f aca="false">$B$14+$B$13*SUMPRODUCT($P$6:$P$27,EXP(0-((H147-$O$6:$O$27)/1.2)^2))</f>
        <v>0.02</v>
      </c>
      <c r="J147" s="16" t="n">
        <f aca="false">($B$15*(2*hP*cL^2/(H147*0.000000001)^5/(EXP(hP*cL/(H147*0.000000001*kB*$B$11))-1))*EXP(-I147)+(2*hP*cL^2/(H147*0.000000001)^5/(EXP(hP*cL/(H147*0.000000001*kB*$B$12))-1))*(1-EXP(-I147)))/1000000000000</f>
        <v>38.4767251877776</v>
      </c>
      <c r="K147" s="16" t="n">
        <f aca="false">$B$15*(2*hP*cL^2/(H147*0.000000001)^5/(EXP(hP*cL/(H147*0.000000001*kB*$B$11))-1))/1000000000000</f>
        <v>39.1030357420329</v>
      </c>
      <c r="L147" s="16" t="n">
        <f aca="false">(2*hP*cL^2/(H147*0.000000001)^5/(EXP(hP*cL/(H147*0.000000001*kB*$B$12))-1))/1000000000000</f>
        <v>7.47330890817873</v>
      </c>
    </row>
    <row r="148" customFormat="false" ht="15" hidden="false" customHeight="false" outlineLevel="0" collapsed="false">
      <c r="H148" s="20" t="n">
        <v>604</v>
      </c>
      <c r="I148" s="27" t="n">
        <f aca="false">$B$14+$B$13*SUMPRODUCT($P$6:$P$27,EXP(0-((H148-$O$6:$O$27)/1.2)^2))</f>
        <v>0.02</v>
      </c>
      <c r="J148" s="16" t="n">
        <f aca="false">($B$15*(2*hP*cL^2/(H148*0.000000001)^5/(EXP(hP*cL/(H148*0.000000001*kB*$B$11))-1))*EXP(-I148)+(2*hP*cL^2/(H148*0.000000001)^5/(EXP(hP*cL/(H148*0.000000001*kB*$B$12))-1))*(1-EXP(-I148)))/1000000000000</f>
        <v>38.3204222141333</v>
      </c>
      <c r="K148" s="16" t="n">
        <f aca="false">$B$15*(2*hP*cL^2/(H148*0.000000001)^5/(EXP(hP*cL/(H148*0.000000001*kB*$B$11))-1))/1000000000000</f>
        <v>38.9434104880165</v>
      </c>
      <c r="L148" s="16" t="n">
        <f aca="false">(2*hP*cL^2/(H148*0.000000001)^5/(EXP(hP*cL/(H148*0.000000001*kB*$B$12))-1))/1000000000000</f>
        <v>7.48146435004785</v>
      </c>
    </row>
    <row r="149" customFormat="false" ht="15" hidden="false" customHeight="false" outlineLevel="0" collapsed="false">
      <c r="H149" s="20" t="n">
        <v>606</v>
      </c>
      <c r="I149" s="27" t="n">
        <f aca="false">$B$14+$B$13*SUMPRODUCT($P$6:$P$27,EXP(0-((H149-$O$6:$O$27)/1.2)^2))</f>
        <v>0.02</v>
      </c>
      <c r="J149" s="16" t="n">
        <f aca="false">($B$15*(2*hP*cL^2/(H149*0.000000001)^5/(EXP(hP*cL/(H149*0.000000001*kB*$B$11))-1))*EXP(-I149)+(2*hP*cL^2/(H149*0.000000001)^5/(EXP(hP*cL/(H149*0.000000001*kB*$B$12))-1))*(1-EXP(-I149)))/1000000000000</f>
        <v>38.1638488927962</v>
      </c>
      <c r="K149" s="16" t="n">
        <f aca="false">$B$15*(2*hP*cL^2/(H149*0.000000001)^5/(EXP(hP*cL/(H149*0.000000001*kB*$B$11))-1))/1000000000000</f>
        <v>38.7835183662341</v>
      </c>
      <c r="L149" s="16" t="n">
        <f aca="false">(2*hP*cL^2/(H149*0.000000001)^5/(EXP(hP*cL/(H149*0.000000001*kB*$B$12))-1))/1000000000000</f>
        <v>7.4891771820507</v>
      </c>
    </row>
    <row r="150" customFormat="false" ht="15" hidden="false" customHeight="false" outlineLevel="0" collapsed="false">
      <c r="H150" s="20" t="n">
        <v>608</v>
      </c>
      <c r="I150" s="27" t="n">
        <f aca="false">$B$14+$B$13*SUMPRODUCT($P$6:$P$27,EXP(0-((H150-$O$6:$O$27)/1.2)^2))</f>
        <v>0.02</v>
      </c>
      <c r="J150" s="16" t="n">
        <f aca="false">($B$15*(2*hP*cL^2/(H150*0.000000001)^5/(EXP(hP*cL/(H150*0.000000001*kB*$B$11))-1))*EXP(-I150)+(2*hP*cL^2/(H150*0.000000001)^5/(EXP(hP*cL/(H150*0.000000001*kB*$B$12))-1))*(1-EXP(-I150)))/1000000000000</f>
        <v>38.007029868927</v>
      </c>
      <c r="K150" s="16" t="n">
        <f aca="false">$B$15*(2*hP*cL^2/(H150*0.000000001)^5/(EXP(hP*cL/(H150*0.000000001*kB*$B$11))-1))/1000000000000</f>
        <v>38.6233844285891</v>
      </c>
      <c r="L150" s="16" t="n">
        <f aca="false">(2*hP*cL^2/(H150*0.000000001)^5/(EXP(hP*cL/(H150*0.000000001*kB*$B$12))-1))/1000000000000</f>
        <v>7.49645191490148</v>
      </c>
    </row>
    <row r="151" customFormat="false" ht="15" hidden="false" customHeight="false" outlineLevel="0" collapsed="false">
      <c r="H151" s="20" t="n">
        <v>610</v>
      </c>
      <c r="I151" s="27" t="n">
        <f aca="false">$B$14+$B$13*SUMPRODUCT($P$6:$P$27,EXP(0-((H151-$O$6:$O$27)/1.2)^2))</f>
        <v>0.02</v>
      </c>
      <c r="J151" s="16" t="n">
        <f aca="false">($B$15*(2*hP*cL^2/(H151*0.000000001)^5/(EXP(hP*cL/(H151*0.000000001*kB*$B$11))-1))*EXP(-I151)+(2*hP*cL^2/(H151*0.000000001)^5/(EXP(hP*cL/(H151*0.000000001*kB*$B$12))-1))*(1-EXP(-I151)))/1000000000000</f>
        <v>37.8499892443799</v>
      </c>
      <c r="K151" s="16" t="n">
        <f aca="false">$B$15*(2*hP*cL^2/(H151*0.000000001)^5/(EXP(hP*cL/(H151*0.000000001*kB*$B$11))-1))/1000000000000</f>
        <v>38.4630331724213</v>
      </c>
      <c r="L151" s="16" t="n">
        <f aca="false">(2*hP*cL^2/(H151*0.000000001)^5/(EXP(hP*cL/(H151*0.000000001*kB*$B$12))-1))/1000000000000</f>
        <v>7.50329307326045</v>
      </c>
    </row>
    <row r="152" customFormat="false" ht="15" hidden="false" customHeight="false" outlineLevel="0" collapsed="false">
      <c r="H152" s="20" t="n">
        <v>612</v>
      </c>
      <c r="I152" s="27" t="n">
        <f aca="false">$B$14+$B$13*SUMPRODUCT($P$6:$P$27,EXP(0-((H152-$O$6:$O$27)/1.2)^2))</f>
        <v>0.02</v>
      </c>
      <c r="J152" s="16" t="n">
        <f aca="false">($B$15*(2*hP*cL^2/(H152*0.000000001)^5/(EXP(hP*cL/(H152*0.000000001*kB*$B$11))-1))*EXP(-I152)+(2*hP*cL^2/(H152*0.000000001)^5/(EXP(hP*cL/(H152*0.000000001*kB*$B$12))-1))*(1-EXP(-I152)))/1000000000000</f>
        <v>37.6927505861418</v>
      </c>
      <c r="K152" s="16" t="n">
        <f aca="false">$B$15*(2*hP*cL^2/(H152*0.000000001)^5/(EXP(hP*cL/(H152*0.000000001*kB*$B$11))-1))/1000000000000</f>
        <v>38.3024885491553</v>
      </c>
      <c r="L152" s="16" t="n">
        <f aca="false">(2*hP*cL^2/(H152*0.000000001)^5/(EXP(hP*cL/(H152*0.000000001*kB*$B$12))-1))/1000000000000</f>
        <v>7.50970519380943</v>
      </c>
    </row>
    <row r="153" customFormat="false" ht="15" hidden="false" customHeight="false" outlineLevel="0" collapsed="false">
      <c r="H153" s="20" t="n">
        <v>614</v>
      </c>
      <c r="I153" s="27" t="n">
        <f aca="false">$B$14+$B$13*SUMPRODUCT($P$6:$P$27,EXP(0-((H153-$O$6:$O$27)/1.2)^2))</f>
        <v>0.02</v>
      </c>
      <c r="J153" s="16" t="n">
        <f aca="false">($B$15*(2*hP*cL^2/(H153*0.000000001)^5/(EXP(hP*cL/(H153*0.000000001*kB*$B$11))-1))*EXP(-I153)+(2*hP*cL^2/(H153*0.000000001)^5/(EXP(hP*cL/(H153*0.000000001*kB*$B$12))-1))*(1-EXP(-I153)))/1000000000000</f>
        <v>37.535336934715</v>
      </c>
      <c r="K153" s="16" t="n">
        <f aca="false">$B$15*(2*hP*cL^2/(H153*0.000000001)^5/(EXP(hP*cL/(H153*0.000000001*kB*$B$11))-1))/1000000000000</f>
        <v>38.1417739728903</v>
      </c>
      <c r="L153" s="16" t="n">
        <f aca="false">(2*hP*cL^2/(H153*0.000000001)^5/(EXP(hP*cL/(H153*0.000000001*kB*$B$12))-1))/1000000000000</f>
        <v>7.51569282338271</v>
      </c>
    </row>
    <row r="154" customFormat="false" ht="15" hidden="false" customHeight="false" outlineLevel="0" collapsed="false">
      <c r="H154" s="20" t="n">
        <v>616</v>
      </c>
      <c r="I154" s="27" t="n">
        <f aca="false">$B$14+$B$13*SUMPRODUCT($P$6:$P$27,EXP(0-((H154-$O$6:$O$27)/1.2)^2))</f>
        <v>0.02</v>
      </c>
      <c r="J154" s="16" t="n">
        <f aca="false">($B$15*(2*hP*cL^2/(H154*0.000000001)^5/(EXP(hP*cL/(H154*0.000000001*kB*$B$11))-1))*EXP(-I154)+(2*hP*cL^2/(H154*0.000000001)^5/(EXP(hP*cL/(H154*0.000000001*kB*$B$12))-1))*(1-EXP(-I154)))/1000000000000</f>
        <v>37.377770812444</v>
      </c>
      <c r="K154" s="16" t="n">
        <f aca="false">$B$15*(2*hP*cL^2/(H154*0.000000001)^5/(EXP(hP*cL/(H154*0.000000001*kB*$B$11))-1))/1000000000000</f>
        <v>37.9809123289315</v>
      </c>
      <c r="L154" s="16" t="n">
        <f aca="false">(2*hP*cL^2/(H154*0.000000001)^5/(EXP(hP*cL/(H154*0.000000001*kB*$B$12))-1))/1000000000000</f>
        <v>7.52126051715254</v>
      </c>
    </row>
    <row r="155" customFormat="false" ht="15" hidden="false" customHeight="false" outlineLevel="0" collapsed="false">
      <c r="H155" s="20" t="n">
        <v>618</v>
      </c>
      <c r="I155" s="27" t="n">
        <f aca="false">$B$14+$B$13*SUMPRODUCT($P$6:$P$27,EXP(0-((H155-$O$6:$O$27)/1.2)^2))</f>
        <v>0.02</v>
      </c>
      <c r="J155" s="16" t="n">
        <f aca="false">($B$15*(2*hP*cL^2/(H155*0.000000001)^5/(EXP(hP*cL/(H155*0.000000001*kB*$B$11))-1))*EXP(-I155)+(2*hP*cL^2/(H155*0.000000001)^5/(EXP(hP*cL/(H155*0.000000001*kB*$B$12))-1))*(1-EXP(-I155)))/1000000000000</f>
        <v>37.2200742317789</v>
      </c>
      <c r="K155" s="16" t="n">
        <f aca="false">$B$15*(2*hP*cL^2/(H155*0.000000001)^5/(EXP(hP*cL/(H155*0.000000001*kB*$B$11))-1))/1000000000000</f>
        <v>37.8199259822568</v>
      </c>
      <c r="L155" s="16" t="n">
        <f aca="false">(2*hP*cL^2/(H155*0.000000001)^5/(EXP(hP*cL/(H155*0.000000001*kB*$B$12))-1))/1000000000000</f>
        <v>7.52641283686817</v>
      </c>
    </row>
    <row r="156" customFormat="false" ht="15" hidden="false" customHeight="false" outlineLevel="0" collapsed="false">
      <c r="H156" s="20" t="n">
        <v>620</v>
      </c>
      <c r="I156" s="27" t="n">
        <f aca="false">$B$14+$B$13*SUMPRODUCT($P$6:$P$27,EXP(0-((H156-$O$6:$O$27)/1.2)^2))</f>
        <v>0.02</v>
      </c>
      <c r="J156" s="16" t="n">
        <f aca="false">($B$15*(2*hP*cL^2/(H156*0.000000001)^5/(EXP(hP*cL/(H156*0.000000001*kB*$B$11))-1))*EXP(-I156)+(2*hP*cL^2/(H156*0.000000001)^5/(EXP(hP*cL/(H156*0.000000001*kB*$B$12))-1))*(1-EXP(-I156)))/1000000000000</f>
        <v>37.0622687034777</v>
      </c>
      <c r="K156" s="16" t="n">
        <f aca="false">$B$15*(2*hP*cL^2/(H156*0.000000001)^5/(EXP(hP*cL/(H156*0.000000001*kB*$B$11))-1))/1000000000000</f>
        <v>37.6588367859185</v>
      </c>
      <c r="L156" s="16" t="n">
        <f aca="false">(2*hP*cL^2/(H156*0.000000001)^5/(EXP(hP*cL/(H156*0.000000001*kB*$B$12))-1))/1000000000000</f>
        <v>7.53115434914758</v>
      </c>
    </row>
    <row r="157" customFormat="false" ht="15" hidden="false" customHeight="false" outlineLevel="0" collapsed="false">
      <c r="H157" s="20" t="n">
        <v>622</v>
      </c>
      <c r="I157" s="27" t="n">
        <f aca="false">$B$14+$B$13*SUMPRODUCT($P$6:$P$27,EXP(0-((H157-$O$6:$O$27)/1.2)^2))</f>
        <v>0.02</v>
      </c>
      <c r="J157" s="16" t="n">
        <f aca="false">($B$15*(2*hP*cL^2/(H157*0.000000001)^5/(EXP(hP*cL/(H157*0.000000001*kB*$B$11))-1))*EXP(-I157)+(2*hP*cL^2/(H157*0.000000001)^5/(EXP(hP*cL/(H157*0.000000001*kB*$B$12))-1))*(1-EXP(-I157)))/1000000000000</f>
        <v>36.9043752447412</v>
      </c>
      <c r="K157" s="16" t="n">
        <f aca="false">$B$15*(2*hP*cL^2/(H157*0.000000001)^5/(EXP(hP*cL/(H157*0.000000001*kB*$B$11))-1))/1000000000000</f>
        <v>37.4976660893763</v>
      </c>
      <c r="L157" s="16" t="n">
        <f aca="false">(2*hP*cL^2/(H157*0.000000001)^5/(EXP(hP*cL/(H157*0.000000001*kB*$B$12))-1))/1000000000000</f>
        <v>7.53548962382108</v>
      </c>
    </row>
    <row r="158" customFormat="false" ht="15" hidden="false" customHeight="false" outlineLevel="0" collapsed="false">
      <c r="H158" s="20" t="n">
        <v>624</v>
      </c>
      <c r="I158" s="27" t="n">
        <f aca="false">$B$14+$B$13*SUMPRODUCT($P$6:$P$27,EXP(0-((H158-$O$6:$O$27)/1.2)^2))</f>
        <v>0.02</v>
      </c>
      <c r="J158" s="16" t="n">
        <f aca="false">($B$15*(2*hP*cL^2/(H158*0.000000001)^5/(EXP(hP*cL/(H158*0.000000001*kB*$B$11))-1))*EXP(-I158)+(2*hP*cL^2/(H158*0.000000001)^5/(EXP(hP*cL/(H158*0.000000001*kB*$B$12))-1))*(1-EXP(-I158)))/1000000000000</f>
        <v>36.74641438728</v>
      </c>
      <c r="K158" s="16" t="n">
        <f aca="false">$B$15*(2*hP*cL^2/(H158*0.000000001)^5/(EXP(hP*cL/(H158*0.000000001*kB*$B$11))-1))/1000000000000</f>
        <v>37.3364347467597</v>
      </c>
      <c r="L158" s="16" t="n">
        <f aca="false">(2*hP*cL^2/(H158*0.000000001)^5/(EXP(hP*cL/(H158*0.000000001*kB*$B$12))-1))/1000000000000</f>
        <v>7.53942323232559</v>
      </c>
    </row>
    <row r="159" customFormat="false" ht="15" hidden="false" customHeight="false" outlineLevel="0" collapsed="false">
      <c r="H159" s="20" t="n">
        <v>626</v>
      </c>
      <c r="I159" s="27" t="n">
        <f aca="false">$B$14+$B$13*SUMPRODUCT($P$6:$P$27,EXP(0-((H159-$O$6:$O$27)/1.2)^2))</f>
        <v>0.02</v>
      </c>
      <c r="J159" s="16" t="n">
        <f aca="false">($B$15*(2*hP*cL^2/(H159*0.000000001)^5/(EXP(hP*cL/(H159*0.000000001*kB*$B$11))-1))*EXP(-I159)+(2*hP*cL^2/(H159*0.000000001)^5/(EXP(hP*cL/(H159*0.000000001*kB*$B$12))-1))*(1-EXP(-I159)))/1000000000000</f>
        <v>36.588406185312</v>
      </c>
      <c r="K159" s="16" t="n">
        <f aca="false">$B$15*(2*hP*cL^2/(H159*0.000000001)^5/(EXP(hP*cL/(H159*0.000000001*kB*$B$11))-1))/1000000000000</f>
        <v>37.1751631250584</v>
      </c>
      <c r="L159" s="16" t="n">
        <f aca="false">(2*hP*cL^2/(H159*0.000000001)^5/(EXP(hP*cL/(H159*0.000000001*kB*$B$12))-1))/1000000000000</f>
        <v>7.54295974614902</v>
      </c>
    </row>
    <row r="160" customFormat="false" ht="15" hidden="false" customHeight="false" outlineLevel="0" collapsed="false">
      <c r="H160" s="20" t="n">
        <v>628</v>
      </c>
      <c r="I160" s="27" t="n">
        <f aca="false">$B$14+$B$13*SUMPRODUCT($P$6:$P$27,EXP(0-((H160-$O$6:$O$27)/1.2)^2))</f>
        <v>0.02</v>
      </c>
      <c r="J160" s="16" t="n">
        <f aca="false">($B$15*(2*hP*cL^2/(H160*0.000000001)^5/(EXP(hP*cL/(H160*0.000000001*kB*$B$11))-1))*EXP(-I160)+(2*hP*cL^2/(H160*0.000000001)^5/(EXP(hP*cL/(H160*0.000000001*kB*$B$12))-1))*(1-EXP(-I160)))/1000000000000</f>
        <v>36.4303702234864</v>
      </c>
      <c r="K160" s="16" t="n">
        <f aca="false">$B$15*(2*hP*cL^2/(H160*0.000000001)^5/(EXP(hP*cL/(H160*0.000000001*kB*$B$11))-1))/1000000000000</f>
        <v>37.0138711122372</v>
      </c>
      <c r="L160" s="16" t="n">
        <f aca="false">(2*hP*cL^2/(H160*0.000000001)^5/(EXP(hP*cL/(H160*0.000000001*kB*$B$12))-1))/1000000000000</f>
        <v>7.54610373532354</v>
      </c>
    </row>
    <row r="161" customFormat="false" ht="15" hidden="false" customHeight="false" outlineLevel="0" collapsed="false">
      <c r="H161" s="20" t="n">
        <v>630</v>
      </c>
      <c r="I161" s="27" t="n">
        <f aca="false">$B$14+$B$13*SUMPRODUCT($P$6:$P$27,EXP(0-((H161-$O$6:$O$27)/1.2)^2))</f>
        <v>0.02</v>
      </c>
      <c r="J161" s="16" t="n">
        <f aca="false">($B$15*(2*hP*cL^2/(H161*0.000000001)^5/(EXP(hP*cL/(H161*0.000000001*kB*$B$11))-1))*EXP(-I161)+(2*hP*cL^2/(H161*0.000000001)^5/(EXP(hP*cL/(H161*0.000000001*kB*$B$12))-1))*(1-EXP(-I161)))/1000000000000</f>
        <v>36.2723256247352</v>
      </c>
      <c r="K161" s="16" t="n">
        <f aca="false">$B$15*(2*hP*cL^2/(H161*0.000000001)^5/(EXP(hP*cL/(H161*0.000000001*kB*$B$11))-1))/1000000000000</f>
        <v>36.8525781252749</v>
      </c>
      <c r="L161" s="16" t="n">
        <f aca="false">(2*hP*cL^2/(H161*0.000000001)^5/(EXP(hP*cL/(H161*0.000000001*kB*$B$12))-1))/1000000000000</f>
        <v>7.54885976696701</v>
      </c>
    </row>
    <row r="162" customFormat="false" ht="15" hidden="false" customHeight="false" outlineLevel="0" collapsed="false">
      <c r="H162" s="20" t="n">
        <v>632</v>
      </c>
      <c r="I162" s="27" t="n">
        <f aca="false">$B$14+$B$13*SUMPRODUCT($P$6:$P$27,EXP(0-((H162-$O$6:$O$27)/1.2)^2))</f>
        <v>0.02</v>
      </c>
      <c r="J162" s="16" t="n">
        <f aca="false">($B$15*(2*hP*cL^2/(H162*0.000000001)^5/(EXP(hP*cL/(H162*0.000000001*kB*$B$11))-1))*EXP(-I162)+(2*hP*cL^2/(H162*0.000000001)^5/(EXP(hP*cL/(H162*0.000000001*kB*$B$12))-1))*(1-EXP(-I162)))/1000000000000</f>
        <v>36.1142910580477</v>
      </c>
      <c r="K162" s="16" t="n">
        <f aca="false">$B$15*(2*hP*cL^2/(H162*0.000000001)^5/(EXP(hP*cL/(H162*0.000000001*kB*$B$11))-1))/1000000000000</f>
        <v>36.6913031181249</v>
      </c>
      <c r="L162" s="16" t="n">
        <f aca="false">(2*hP*cL^2/(H162*0.000000001)^5/(EXP(hP*cL/(H162*0.000000001*kB*$B$12))-1))/1000000000000</f>
        <v>7.55123240387156</v>
      </c>
    </row>
    <row r="163" customFormat="false" ht="15" hidden="false" customHeight="false" outlineLevel="0" collapsed="false">
      <c r="H163" s="20" t="n">
        <v>634</v>
      </c>
      <c r="I163" s="27" t="n">
        <f aca="false">$B$14+$B$13*SUMPRODUCT($P$6:$P$27,EXP(0-((H163-$O$6:$O$27)/1.2)^2))</f>
        <v>0.02</v>
      </c>
      <c r="J163" s="16" t="n">
        <f aca="false">($B$15*(2*hP*cL^2/(H163*0.000000001)^5/(EXP(hP*cL/(H163*0.000000001*kB*$B$11))-1))*EXP(-I163)+(2*hP*cL^2/(H163*0.000000001)^5/(EXP(hP*cL/(H163*0.000000001*kB*$B$12))-1))*(1-EXP(-I163)))/1000000000000</f>
        <v>35.9562847461689</v>
      </c>
      <c r="K163" s="16" t="n">
        <f aca="false">$B$15*(2*hP*cL^2/(H163*0.000000001)^5/(EXP(hP*cL/(H163*0.000000001*kB*$B$11))-1))/1000000000000</f>
        <v>36.5300645895965</v>
      </c>
      <c r="L163" s="16" t="n">
        <f aca="false">(2*hP*cL^2/(H163*0.000000001)^5/(EXP(hP*cL/(H163*0.000000001*kB*$B$12))-1))/1000000000000</f>
        <v>7.5532262031384</v>
      </c>
    </row>
    <row r="164" customFormat="false" ht="15" hidden="false" customHeight="false" outlineLevel="0" collapsed="false">
      <c r="H164" s="20" t="n">
        <v>636</v>
      </c>
      <c r="I164" s="27" t="n">
        <f aca="false">$B$14+$B$13*SUMPRODUCT($P$6:$P$27,EXP(0-((H164-$O$6:$O$27)/1.2)^2))</f>
        <v>0.02</v>
      </c>
      <c r="J164" s="16" t="n">
        <f aca="false">($B$15*(2*hP*cL^2/(H164*0.000000001)^5/(EXP(hP*cL/(H164*0.000000001*kB*$B$11))-1))*EXP(-I164)+(2*hP*cL^2/(H164*0.000000001)^5/(EXP(hP*cL/(H164*0.000000001*kB*$B$12))-1))*(1-EXP(-I164)))/1000000000000</f>
        <v>35.7983244732187</v>
      </c>
      <c r="K164" s="16" t="n">
        <f aca="false">$B$15*(2*hP*cL^2/(H164*0.000000001)^5/(EXP(hP*cL/(H164*0.000000001*kB*$B$11))-1))/1000000000000</f>
        <v>36.3688805911548</v>
      </c>
      <c r="L164" s="16" t="n">
        <f aca="false">(2*hP*cL^2/(H164*0.000000001)^5/(EXP(hP*cL/(H164*0.000000001*kB*$B$12))-1))/1000000000000</f>
        <v>7.55484571485808</v>
      </c>
    </row>
    <row r="165" customFormat="false" ht="15" hidden="false" customHeight="false" outlineLevel="0" collapsed="false">
      <c r="H165" s="20" t="n">
        <v>638</v>
      </c>
      <c r="I165" s="27" t="n">
        <f aca="false">$B$14+$B$13*SUMPRODUCT($P$6:$P$27,EXP(0-((H165-$O$6:$O$27)/1.2)^2))</f>
        <v>0.02</v>
      </c>
      <c r="J165" s="16" t="n">
        <f aca="false">($B$15*(2*hP*cL^2/(H165*0.000000001)^5/(EXP(hP*cL/(H165*0.000000001*kB*$B$11))-1))*EXP(-I165)+(2*hP*cL^2/(H165*0.000000001)^5/(EXP(hP*cL/(H165*0.000000001*kB*$B$12))-1))*(1-EXP(-I165)))/1000000000000</f>
        <v>35.640427592232</v>
      </c>
      <c r="K165" s="16" t="n">
        <f aca="false">$B$15*(2*hP*cL^2/(H165*0.000000001)^5/(EXP(hP*cL/(H165*0.000000001*kB*$B$11))-1))/1000000000000</f>
        <v>36.2077687346387</v>
      </c>
      <c r="L165" s="16" t="n">
        <f aca="false">(2*hP*cL^2/(H165*0.000000001)^5/(EXP(hP*cL/(H165*0.000000001*kB*$B$12))-1))/1000000000000</f>
        <v>7.5560954808351</v>
      </c>
    </row>
    <row r="166" customFormat="false" ht="15" hidden="false" customHeight="false" outlineLevel="0" collapsed="false">
      <c r="H166" s="20" t="n">
        <v>640</v>
      </c>
      <c r="I166" s="27" t="n">
        <f aca="false">$B$14+$B$13*SUMPRODUCT($P$6:$P$27,EXP(0-((H166-$O$6:$O$27)/1.2)^2))</f>
        <v>0.02</v>
      </c>
      <c r="J166" s="16" t="n">
        <f aca="false">($B$15*(2*hP*cL^2/(H166*0.000000001)^5/(EXP(hP*cL/(H166*0.000000001*kB*$B$11))-1))*EXP(-I166)+(2*hP*cL^2/(H166*0.000000001)^5/(EXP(hP*cL/(H166*0.000000001*kB*$B$12))-1))*(1-EXP(-I166)))/1000000000000</f>
        <v>35.4826110326176</v>
      </c>
      <c r="K166" s="16" t="n">
        <f aca="false">$B$15*(2*hP*cL^2/(H166*0.000000001)^5/(EXP(hP*cL/(H166*0.000000001*kB*$B$11))-1))/1000000000000</f>
        <v>36.0467461998954</v>
      </c>
      <c r="L166" s="16" t="n">
        <f aca="false">(2*hP*cL^2/(H166*0.000000001)^5/(EXP(hP*cL/(H166*0.000000001*kB*$B$12))-1))/1000000000000</f>
        <v>7.55698003335612</v>
      </c>
    </row>
    <row r="167" customFormat="false" ht="15" hidden="false" customHeight="false" outlineLevel="0" collapsed="false">
      <c r="H167" s="20" t="n">
        <v>642</v>
      </c>
      <c r="I167" s="27" t="n">
        <f aca="false">$B$14+$B$13*SUMPRODUCT($P$6:$P$27,EXP(0-((H167-$O$6:$O$27)/1.2)^2))</f>
        <v>0.02</v>
      </c>
      <c r="J167" s="16" t="n">
        <f aca="false">($B$15*(2*hP*cL^2/(H167*0.000000001)^5/(EXP(hP*cL/(H167*0.000000001*kB*$B$11))-1))*EXP(-I167)+(2*hP*cL^2/(H167*0.000000001)^5/(EXP(hP*cL/(H167*0.000000001*kB*$B$12))-1))*(1-EXP(-I167)))/1000000000000</f>
        <v>35.324891307535</v>
      </c>
      <c r="K167" s="16" t="n">
        <f aca="false">$B$15*(2*hP*cL^2/(H167*0.000000001)^5/(EXP(hP*cL/(H167*0.000000001*kB*$B$11))-1))/1000000000000</f>
        <v>35.8858297423304</v>
      </c>
      <c r="L167" s="16" t="n">
        <f aca="false">(2*hP*cL^2/(H167*0.000000001)^5/(EXP(hP*cL/(H167*0.000000001*kB*$B$12))-1))/1000000000000</f>
        <v>7.55750389400085</v>
      </c>
    </row>
    <row r="168" customFormat="false" ht="15" hidden="false" customHeight="false" outlineLevel="0" collapsed="false">
      <c r="H168" s="20" t="n">
        <v>644</v>
      </c>
      <c r="I168" s="27" t="n">
        <f aca="false">$B$14+$B$13*SUMPRODUCT($P$6:$P$27,EXP(0-((H168-$O$6:$O$27)/1.2)^2))</f>
        <v>0.02</v>
      </c>
      <c r="J168" s="16" t="n">
        <f aca="false">($B$15*(2*hP*cL^2/(H168*0.000000001)^5/(EXP(hP*cL/(H168*0.000000001*kB*$B$11))-1))*EXP(-I168)+(2*hP*cL^2/(H168*0.000000001)^5/(EXP(hP*cL/(H168*0.000000001*kB*$B$12))-1))*(1-EXP(-I168)))/1000000000000</f>
        <v>35.1672845211891</v>
      </c>
      <c r="K168" s="16" t="n">
        <f aca="false">$B$15*(2*hP*cL^2/(H168*0.000000001)^5/(EXP(hP*cL/(H168*0.000000001*kB*$B$11))-1))/1000000000000</f>
        <v>35.7250357003728</v>
      </c>
      <c r="L168" s="16" t="n">
        <f aca="false">(2*hP*cL^2/(H168*0.000000001)^5/(EXP(hP*cL/(H168*0.000000001*kB*$B$12))-1))/1000000000000</f>
        <v>7.55767157249467</v>
      </c>
    </row>
    <row r="169" customFormat="false" ht="15" hidden="false" customHeight="false" outlineLevel="0" collapsed="false">
      <c r="H169" s="20" t="n">
        <v>646</v>
      </c>
      <c r="I169" s="27" t="n">
        <f aca="false">$B$14+$B$13*SUMPRODUCT($P$6:$P$27,EXP(0-((H169-$O$6:$O$27)/1.2)^2))</f>
        <v>0.02</v>
      </c>
      <c r="J169" s="16" t="n">
        <f aca="false">($B$15*(2*hP*cL^2/(H169*0.000000001)^5/(EXP(hP*cL/(H169*0.000000001*kB*$B$11))-1))*EXP(-I169)+(2*hP*cL^2/(H169*0.000000001)^5/(EXP(hP*cL/(H169*0.000000001*kB*$B$12))-1))*(1-EXP(-I169)))/1000000000000</f>
        <v>35.0098063760409</v>
      </c>
      <c r="K169" s="16" t="n">
        <f aca="false">$B$15*(2*hP*cL^2/(H169*0.000000001)^5/(EXP(hP*cL/(H169*0.000000001*kB*$B$11))-1))/1000000000000</f>
        <v>35.5643800028534</v>
      </c>
      <c r="L169" s="16" t="n">
        <f aca="false">(2*hP*cL^2/(H169*0.000000001)^5/(EXP(hP*cL/(H169*0.000000001*kB*$B$12))-1))/1000000000000</f>
        <v>7.55748756560212</v>
      </c>
    </row>
    <row r="170" customFormat="false" ht="15" hidden="false" customHeight="false" outlineLevel="0" collapsed="false">
      <c r="H170" s="20" t="n">
        <v>648</v>
      </c>
      <c r="I170" s="27" t="n">
        <f aca="false">$B$14+$B$13*SUMPRODUCT($P$6:$P$27,EXP(0-((H170-$O$6:$O$27)/1.2)^2))</f>
        <v>0.02</v>
      </c>
      <c r="J170" s="16" t="n">
        <f aca="false">($B$15*(2*hP*cL^2/(H170*0.000000001)^5/(EXP(hP*cL/(H170*0.000000001*kB*$B$11))-1))*EXP(-I170)+(2*hP*cL^2/(H170*0.000000001)^5/(EXP(hP*cL/(H170*0.000000001*kB*$B$12))-1))*(1-EXP(-I170)))/1000000000000</f>
        <v>34.852472179934</v>
      </c>
      <c r="K170" s="16" t="n">
        <f aca="false">$B$15*(2*hP*cL^2/(H170*0.000000001)^5/(EXP(hP*cL/(H170*0.000000001*kB*$B$11))-1))/1000000000000</f>
        <v>35.4038781762977</v>
      </c>
      <c r="L170" s="16" t="n">
        <f aca="false">(2*hP*cL^2/(H170*0.000000001)^5/(EXP(hP*cL/(H170*0.000000001*kB*$B$12))-1))/1000000000000</f>
        <v>7.55695635606052</v>
      </c>
    </row>
    <row r="171" customFormat="false" ht="15" hidden="false" customHeight="false" outlineLevel="0" collapsed="false">
      <c r="H171" s="20" t="n">
        <v>650</v>
      </c>
      <c r="I171" s="27" t="n">
        <f aca="false">$B$14+$B$13*SUMPRODUCT($P$6:$P$27,EXP(0-((H171-$O$6:$O$27)/1.2)^2))</f>
        <v>0.0200000000004873</v>
      </c>
      <c r="J171" s="16" t="n">
        <f aca="false">($B$15*(2*hP*cL^2/(H171*0.000000001)^5/(EXP(hP*cL/(H171*0.000000001*kB*$B$11))-1))*EXP(-I171)+(2*hP*cL^2/(H171*0.000000001)^5/(EXP(hP*cL/(H171*0.000000001*kB*$B$12))-1))*(1-EXP(-I171)))/1000000000000</f>
        <v>34.6952968531233</v>
      </c>
      <c r="K171" s="16" t="n">
        <f aca="false">$B$15*(2*hP*cL^2/(H171*0.000000001)^5/(EXP(hP*cL/(H171*0.000000001*kB*$B$11))-1))/1000000000000</f>
        <v>35.2435453521301</v>
      </c>
      <c r="L171" s="16" t="n">
        <f aca="false">(2*hP*cL^2/(H171*0.000000001)^5/(EXP(hP*cL/(H171*0.000000001*kB*$B$12))-1))/1000000000000</f>
        <v>7.55608241155264</v>
      </c>
    </row>
    <row r="172" customFormat="false" ht="15" hidden="false" customHeight="false" outlineLevel="0" collapsed="false">
      <c r="H172" s="20" t="n">
        <v>652</v>
      </c>
      <c r="I172" s="27" t="n">
        <f aca="false">$B$14+$B$13*SUMPRODUCT($P$6:$P$27,EXP(0-((H172-$O$6:$O$27)/1.2)^2))</f>
        <v>0.0200019187069364</v>
      </c>
      <c r="J172" s="16" t="n">
        <f aca="false">($B$15*(2*hP*cL^2/(H172*0.000000001)^5/(EXP(hP*cL/(H172*0.000000001*kB*$B$11))-1))*EXP(-I172)+(2*hP*cL^2/(H172*0.000000001)^5/(EXP(hP*cL/(H172*0.000000001*kB*$B$12))-1))*(1-EXP(-I172)))/1000000000000</f>
        <v>34.5382431620632</v>
      </c>
      <c r="K172" s="16" t="n">
        <f aca="false">$B$15*(2*hP*cL^2/(H172*0.000000001)^5/(EXP(hP*cL/(H172*0.000000001*kB*$B$11))-1))/1000000000000</f>
        <v>35.0833962737909</v>
      </c>
      <c r="L172" s="16" t="n">
        <f aca="false">(2*hP*cL^2/(H172*0.000000001)^5/(EXP(hP*cL/(H172*0.000000001*kB*$B$12))-1))/1000000000000</f>
        <v>7.55487018371772</v>
      </c>
    </row>
    <row r="173" customFormat="false" ht="15" hidden="false" customHeight="false" outlineLevel="0" collapsed="false">
      <c r="H173" s="20" t="n">
        <v>654</v>
      </c>
      <c r="I173" s="27" t="n">
        <f aca="false">$B$14+$B$13*SUMPRODUCT($P$6:$P$27,EXP(0-((H173-$O$6:$O$27)/1.2)^2))</f>
        <v>0.049208266399916</v>
      </c>
      <c r="J173" s="16" t="n">
        <f aca="false">($B$15*(2*hP*cL^2/(H173*0.000000001)^5/(EXP(hP*cL/(H173*0.000000001*kB*$B$11))-1))*EXP(-I173)+(2*hP*cL^2/(H173*0.000000001)^5/(EXP(hP*cL/(H173*0.000000001*kB*$B$12))-1))*(1-EXP(-I173)))/1000000000000</f>
        <v>33.6092098974756</v>
      </c>
      <c r="K173" s="16" t="n">
        <f aca="false">$B$15*(2*hP*cL^2/(H173*0.000000001)^5/(EXP(hP*cL/(H173*0.000000001*kB*$B$11))-1))/1000000000000</f>
        <v>34.9234453037654</v>
      </c>
      <c r="L173" s="16" t="n">
        <f aca="false">(2*hP*cL^2/(H173*0.000000001)^5/(EXP(hP*cL/(H173*0.000000001*kB*$B$12))-1))/1000000000000</f>
        <v>7.55332410719987</v>
      </c>
    </row>
    <row r="174" customFormat="false" ht="15" hidden="false" customHeight="false" outlineLevel="0" collapsed="false">
      <c r="H174" s="20" t="n">
        <v>656</v>
      </c>
      <c r="I174" s="27" t="n">
        <f aca="false">$B$14+$B$13*SUMPRODUCT($P$6:$P$27,EXP(0-((H174-$O$6:$O$27)/1.2)^2))</f>
        <v>1.73892051478746</v>
      </c>
      <c r="J174" s="16" t="n">
        <f aca="false">($B$15*(2*hP*cL^2/(H174*0.000000001)^5/(EXP(hP*cL/(H174*0.000000001*kB*$B$11))-1))*EXP(-I174)+(2*hP*cL^2/(H174*0.000000001)^5/(EXP(hP*cL/(H174*0.000000001*kB*$B$12))-1))*(1-EXP(-I174)))/1000000000000</f>
        <v>12.3329137310763</v>
      </c>
      <c r="K174" s="16" t="n">
        <f aca="false">$B$15*(2*hP*cL^2/(H174*0.000000001)^5/(EXP(hP*cL/(H174*0.000000001*kB*$B$11))-1))/1000000000000</f>
        <v>34.7637064305242</v>
      </c>
      <c r="L174" s="16" t="n">
        <f aca="false">(2*hP*cL^2/(H174*0.000000001)^5/(EXP(hP*cL/(H174*0.000000001*kB*$B$12))-1))/1000000000000</f>
        <v>7.55144859873327</v>
      </c>
    </row>
    <row r="175" customFormat="false" ht="15" hidden="false" customHeight="false" outlineLevel="0" collapsed="false">
      <c r="H175" s="20" t="n">
        <v>658</v>
      </c>
      <c r="I175" s="27" t="n">
        <f aca="false">$B$14+$B$13*SUMPRODUCT($P$6:$P$27,EXP(0-((H175-$O$6:$O$27)/1.2)^2))</f>
        <v>0.411073768934683</v>
      </c>
      <c r="J175" s="16" t="n">
        <f aca="false">($B$15*(2*hP*cL^2/(H175*0.000000001)^5/(EXP(hP*cL/(H175*0.000000001*kB*$B$11))-1))*EXP(-I175)+(2*hP*cL^2/(H175*0.000000001)^5/(EXP(hP*cL/(H175*0.000000001*kB*$B$12))-1))*(1-EXP(-I175)))/1000000000000</f>
        <v>25.485000021589</v>
      </c>
      <c r="K175" s="16" t="n">
        <f aca="false">$B$15*(2*hP*cL^2/(H175*0.000000001)^5/(EXP(hP*cL/(H175*0.000000001*kB*$B$11))-1))/1000000000000</f>
        <v>34.6041932753742</v>
      </c>
      <c r="L175" s="16" t="n">
        <f aca="false">(2*hP*cL^2/(H175*0.000000001)^5/(EXP(hP*cL/(H175*0.000000001*kB*$B$12))-1))/1000000000000</f>
        <v>7.54924805626287</v>
      </c>
    </row>
    <row r="176" customFormat="false" ht="15" hidden="false" customHeight="false" outlineLevel="0" collapsed="false">
      <c r="H176" s="20" t="n">
        <v>660</v>
      </c>
      <c r="I176" s="27" t="n">
        <f aca="false">$B$14+$B$13*SUMPRODUCT($P$6:$P$27,EXP(0-((H176-$O$6:$O$27)/1.2)^2))</f>
        <v>0.0203439651614579</v>
      </c>
      <c r="J176" s="16" t="n">
        <f aca="false">($B$15*(2*hP*cL^2/(H176*0.000000001)^5/(EXP(hP*cL/(H176*0.000000001*kB*$B$11))-1))*EXP(-I176)+(2*hP*cL^2/(H176*0.000000001)^5/(EXP(hP*cL/(H176*0.000000001*kB*$B$12))-1))*(1-EXP(-I176)))/1000000000000</f>
        <v>33.9032319283508</v>
      </c>
      <c r="K176" s="16" t="n">
        <f aca="false">$B$15*(2*hP*cL^2/(H176*0.000000001)^5/(EXP(hP*cL/(H176*0.000000001*kB*$B$11))-1))/1000000000000</f>
        <v>34.4449190992216</v>
      </c>
      <c r="L176" s="16" t="n">
        <f aca="false">(2*hP*cL^2/(H176*0.000000001)^5/(EXP(hP*cL/(H176*0.000000001*kB*$B$12))-1))/1000000000000</f>
        <v>7.54672685810035</v>
      </c>
    </row>
    <row r="177" customFormat="false" ht="15" hidden="false" customHeight="false" outlineLevel="0" collapsed="false">
      <c r="H177" s="20" t="n">
        <v>662</v>
      </c>
      <c r="I177" s="27" t="n">
        <f aca="false">$B$14+$B$13*SUMPRODUCT($P$6:$P$27,EXP(0-((H177-$O$6:$O$27)/1.2)^2))</f>
        <v>0.0200000011695616</v>
      </c>
      <c r="J177" s="16" t="n">
        <f aca="false">($B$15*(2*hP*cL^2/(H177*0.000000001)^5/(EXP(hP*cL/(H177*0.000000001*kB*$B$11))-1))*EXP(-I177)+(2*hP*cL^2/(H177*0.000000001)^5/(EXP(hP*cL/(H177*0.000000001*kB*$B$12))-1))*(1-EXP(-I177)))/1000000000000</f>
        <v>33.756369552694</v>
      </c>
      <c r="K177" s="16" t="n">
        <f aca="false">$B$15*(2*hP*cL^2/(H177*0.000000001)^5/(EXP(hP*cL/(H177*0.000000001*kB*$B$11))-1))/1000000000000</f>
        <v>34.2858968092449</v>
      </c>
      <c r="L177" s="16" t="n">
        <f aca="false">(2*hP*cL^2/(H177*0.000000001)^5/(EXP(hP*cL/(H177*0.000000001*kB*$B$12))-1))/1000000000000</f>
        <v>7.54388936211402</v>
      </c>
    </row>
    <row r="178" customFormat="false" ht="15" hidden="false" customHeight="false" outlineLevel="0" collapsed="false">
      <c r="H178" s="20" t="n">
        <v>664</v>
      </c>
      <c r="I178" s="27" t="n">
        <f aca="false">$B$14+$B$13*SUMPRODUCT($P$6:$P$27,EXP(0-((H178-$O$6:$O$27)/1.2)^2))</f>
        <v>0.02</v>
      </c>
      <c r="J178" s="16" t="n">
        <f aca="false">($B$15*(2*hP*cL^2/(H178*0.000000001)^5/(EXP(hP*cL/(H178*0.000000001*kB*$B$11))-1))*EXP(-I178)+(2*hP*cL^2/(H178*0.000000001)^5/(EXP(hP*cL/(H178*0.000000001*kB*$B$12))-1))*(1-EXP(-I178)))/1000000000000</f>
        <v>33.6006929920856</v>
      </c>
      <c r="K178" s="16" t="n">
        <f aca="false">$B$15*(2*hP*cL^2/(H178*0.000000001)^5/(EXP(hP*cL/(H178*0.000000001*kB*$B$11))-1))/1000000000000</f>
        <v>34.1271389654801</v>
      </c>
      <c r="L178" s="16" t="n">
        <f aca="false">(2*hP*cL^2/(H178*0.000000001)^5/(EXP(hP*cL/(H178*0.000000001*kB*$B$12))-1))/1000000000000</f>
        <v>7.54073990495214</v>
      </c>
    </row>
    <row r="179" customFormat="false" ht="15" hidden="false" customHeight="false" outlineLevel="0" collapsed="false">
      <c r="H179" s="20" t="n">
        <v>666</v>
      </c>
      <c r="I179" s="27" t="n">
        <f aca="false">$B$14+$B$13*SUMPRODUCT($P$6:$P$27,EXP(0-((H179-$O$6:$O$27)/1.2)^2))</f>
        <v>0.02</v>
      </c>
      <c r="J179" s="16" t="n">
        <f aca="false">($B$15*(2*hP*cL^2/(H179*0.000000001)^5/(EXP(hP*cL/(H179*0.000000001*kB*$B$11))-1))*EXP(-I179)+(2*hP*cL^2/(H179*0.000000001)^5/(EXP(hP*cL/(H179*0.000000001*kB*$B$12))-1))*(1-EXP(-I179)))/1000000000000</f>
        <v>33.4452814962654</v>
      </c>
      <c r="K179" s="16" t="n">
        <f aca="false">$B$15*(2*hP*cL^2/(H179*0.000000001)^5/(EXP(hP*cL/(H179*0.000000001*kB*$B$11))-1))/1000000000000</f>
        <v>33.9686577873151</v>
      </c>
      <c r="L179" s="16" t="n">
        <f aca="false">(2*hP*cL^2/(H179*0.000000001)^5/(EXP(hP*cL/(H179*0.000000001*kB*$B$12))-1))/1000000000000</f>
        <v>7.53728280129887</v>
      </c>
    </row>
    <row r="180" customFormat="false" ht="15" hidden="false" customHeight="false" outlineLevel="0" collapsed="false">
      <c r="H180" s="20" t="n">
        <v>668</v>
      </c>
      <c r="I180" s="27" t="n">
        <f aca="false">$B$14+$B$13*SUMPRODUCT($P$6:$P$27,EXP(0-((H180-$O$6:$O$27)/1.2)^2))</f>
        <v>0.02</v>
      </c>
      <c r="J180" s="16" t="n">
        <f aca="false">($B$15*(2*hP*cL^2/(H180*0.000000001)^5/(EXP(hP*cL/(H180*0.000000001*kB*$B$11))-1))*EXP(-I180)+(2*hP*cL^2/(H180*0.000000001)^5/(EXP(hP*cL/(H180*0.000000001*kB*$B$12))-1))*(1-EXP(-I180)))/1000000000000</f>
        <v>33.2901468306833</v>
      </c>
      <c r="K180" s="16" t="n">
        <f aca="false">$B$15*(2*hP*cL^2/(H180*0.000000001)^5/(EXP(hP*cL/(H180*0.000000001*kB*$B$11))-1))/1000000000000</f>
        <v>33.8104651598972</v>
      </c>
      <c r="L180" s="16" t="n">
        <f aca="false">(2*hP*cL^2/(H180*0.000000001)^5/(EXP(hP*cL/(H180*0.000000001*kB*$B$12))-1))/1000000000000</f>
        <v>7.53352234316191</v>
      </c>
    </row>
    <row r="181" customFormat="false" ht="15" hidden="false" customHeight="false" outlineLevel="0" collapsed="false">
      <c r="H181" s="20" t="n">
        <v>670</v>
      </c>
      <c r="I181" s="27" t="n">
        <f aca="false">$B$14+$B$13*SUMPRODUCT($P$6:$P$27,EXP(0-((H181-$O$6:$O$27)/1.2)^2))</f>
        <v>0.02</v>
      </c>
      <c r="J181" s="16" t="n">
        <f aca="false">($B$15*(2*hP*cL^2/(H181*0.000000001)^5/(EXP(hP*cL/(H181*0.000000001*kB*$B$11))-1))*EXP(-I181)+(2*hP*cL^2/(H181*0.000000001)^5/(EXP(hP*cL/(H181*0.000000001*kB*$B$12))-1))*(1-EXP(-I181)))/1000000000000</f>
        <v>33.1353004082396</v>
      </c>
      <c r="K181" s="16" t="n">
        <f aca="false">$B$15*(2*hP*cL^2/(H181*0.000000001)^5/(EXP(hP*cL/(H181*0.000000001*kB*$B$11))-1))/1000000000000</f>
        <v>33.6525726404499</v>
      </c>
      <c r="L181" s="16" t="n">
        <f aca="false">(2*hP*cL^2/(H181*0.000000001)^5/(EXP(hP*cL/(H181*0.000000001*kB*$B$12))-1))/1000000000000</f>
        <v>7.52946279919119</v>
      </c>
    </row>
    <row r="182" customFormat="false" ht="15" hidden="false" customHeight="false" outlineLevel="0" collapsed="false">
      <c r="H182" s="20" t="n">
        <v>672</v>
      </c>
      <c r="I182" s="27" t="n">
        <f aca="false">$B$14+$B$13*SUMPRODUCT($P$6:$P$27,EXP(0-((H182-$O$6:$O$27)/1.2)^2))</f>
        <v>0.02</v>
      </c>
      <c r="J182" s="16" t="n">
        <f aca="false">($B$15*(2*hP*cL^2/(H182*0.000000001)^5/(EXP(hP*cL/(H182*0.000000001*kB*$B$11))-1))*EXP(-I182)+(2*hP*cL^2/(H182*0.000000001)^5/(EXP(hP*cL/(H182*0.000000001*kB*$B$12))-1))*(1-EXP(-I182)))/1000000000000</f>
        <v>32.9807533260348</v>
      </c>
      <c r="K182" s="16" t="n">
        <f aca="false">$B$15*(2*hP*cL^2/(H182*0.000000001)^5/(EXP(hP*cL/(H182*0.000000001*kB*$B$11))-1))/1000000000000</f>
        <v>33.4949914645026</v>
      </c>
      <c r="L182" s="16" t="n">
        <f aca="false">(2*hP*cL^2/(H182*0.000000001)^5/(EXP(hP*cL/(H182*0.000000001*kB*$B$12))-1))/1000000000000</f>
        <v>7.52510841402786</v>
      </c>
    </row>
    <row r="183" customFormat="false" ht="15" hidden="false" customHeight="false" outlineLevel="0" collapsed="false">
      <c r="H183" s="20" t="n">
        <v>674</v>
      </c>
      <c r="I183" s="27" t="n">
        <f aca="false">$B$14+$B$13*SUMPRODUCT($P$6:$P$27,EXP(0-((H183-$O$6:$O$27)/1.2)^2))</f>
        <v>0.02</v>
      </c>
      <c r="J183" s="16" t="n">
        <f aca="false">($B$15*(2*hP*cL^2/(H183*0.000000001)^5/(EXP(hP*cL/(H183*0.000000001*kB*$B$11))-1))*EXP(-I183)+(2*hP*cL^2/(H183*0.000000001)^5/(EXP(hP*cL/(H183*0.000000001*kB*$B$12))-1))*(1-EXP(-I183)))/1000000000000</f>
        <v>32.8265163713766</v>
      </c>
      <c r="K183" s="16" t="n">
        <f aca="false">$B$15*(2*hP*cL^2/(H183*0.000000001)^5/(EXP(hP*cL/(H183*0.000000001*kB*$B$11))-1))/1000000000000</f>
        <v>33.3377325520312</v>
      </c>
      <c r="L183" s="16" t="n">
        <f aca="false">(2*hP*cL^2/(H183*0.000000001)^5/(EXP(hP*cL/(H183*0.000000001*kB*$B$12))-1))/1000000000000</f>
        <v>7.52046340768277</v>
      </c>
    </row>
    <row r="184" customFormat="false" ht="15" hidden="false" customHeight="false" outlineLevel="0" collapsed="false">
      <c r="H184" s="20" t="n">
        <v>676</v>
      </c>
      <c r="I184" s="27" t="n">
        <f aca="false">$B$14+$B$13*SUMPRODUCT($P$6:$P$27,EXP(0-((H184-$O$6:$O$27)/1.2)^2))</f>
        <v>0.02</v>
      </c>
      <c r="J184" s="16" t="n">
        <f aca="false">($B$15*(2*hP*cL^2/(H184*0.000000001)^5/(EXP(hP*cL/(H184*0.000000001*kB*$B$11))-1))*EXP(-I184)+(2*hP*cL^2/(H184*0.000000001)^5/(EXP(hP*cL/(H184*0.000000001*kB*$B$12))-1))*(1-EXP(-I184)))/1000000000000</f>
        <v>32.6726000277009</v>
      </c>
      <c r="K184" s="16" t="n">
        <f aca="false">$B$15*(2*hP*cL^2/(H184*0.000000001)^5/(EXP(hP*cL/(H184*0.000000001*kB*$B$11))-1))/1000000000000</f>
        <v>33.1808065135109</v>
      </c>
      <c r="L184" s="16" t="n">
        <f aca="false">(2*hP*cL^2/(H184*0.000000001)^5/(EXP(hP*cL/(H184*0.000000001*kB*$B$12))-1))/1000000000000</f>
        <v>7.51553197494362</v>
      </c>
    </row>
    <row r="185" customFormat="false" ht="15" hidden="false" customHeight="false" outlineLevel="0" collapsed="false">
      <c r="H185" s="20" t="n">
        <v>678</v>
      </c>
      <c r="I185" s="27" t="n">
        <f aca="false">$B$14+$B$13*SUMPRODUCT($P$6:$P$27,EXP(0-((H185-$O$6:$O$27)/1.2)^2))</f>
        <v>0.02</v>
      </c>
      <c r="J185" s="16" t="n">
        <f aca="false">($B$15*(2*hP*cL^2/(H185*0.000000001)^5/(EXP(hP*cL/(H185*0.000000001*kB*$B$11))-1))*EXP(-I185)+(2*hP*cL^2/(H185*0.000000001)^5/(EXP(hP*cL/(H185*0.000000001*kB*$B$12))-1))*(1-EXP(-I185)))/1000000000000</f>
        <v>32.5190144804085</v>
      </c>
      <c r="K185" s="16" t="n">
        <f aca="false">$B$15*(2*hP*cL^2/(H185*0.000000001)^5/(EXP(hP*cL/(H185*0.000000001*kB*$B$11))-1))/1000000000000</f>
        <v>33.0242236558816</v>
      </c>
      <c r="L185" s="16" t="n">
        <f aca="false">(2*hP*cL^2/(H185*0.000000001)^5/(EXP(hP*cL/(H185*0.000000001*kB*$B$12))-1))/1000000000000</f>
        <v>7.51031828481038</v>
      </c>
    </row>
    <row r="186" customFormat="false" ht="15" hidden="false" customHeight="false" outlineLevel="0" collapsed="false">
      <c r="H186" s="20" t="n">
        <v>680</v>
      </c>
      <c r="I186" s="27" t="n">
        <f aca="false">$B$14+$B$13*SUMPRODUCT($P$6:$P$27,EXP(0-((H186-$O$6:$O$27)/1.2)^2))</f>
        <v>0.02</v>
      </c>
      <c r="J186" s="16" t="n">
        <f aca="false">($B$15*(2*hP*cL^2/(H186*0.000000001)^5/(EXP(hP*cL/(H186*0.000000001*kB*$B$11))-1))*EXP(-I186)+(2*hP*cL^2/(H186*0.000000001)^5/(EXP(hP*cL/(H186*0.000000001*kB*$B$12))-1))*(1-EXP(-I186)))/1000000000000</f>
        <v>32.3657696226149</v>
      </c>
      <c r="K186" s="16" t="n">
        <f aca="false">$B$15*(2*hP*cL^2/(H186*0.000000001)^5/(EXP(hP*cL/(H186*0.000000001*kB*$B$11))-1))/1000000000000</f>
        <v>32.8679939884256</v>
      </c>
      <c r="L186" s="16" t="n">
        <f aca="false">(2*hP*cL^2/(H186*0.000000001)^5/(EXP(hP*cL/(H186*0.000000001*kB*$B$12))-1))/1000000000000</f>
        <v>7.50482647995786</v>
      </c>
    </row>
    <row r="187" customFormat="false" ht="15" hidden="false" customHeight="false" outlineLevel="0" collapsed="false">
      <c r="H187" s="20" t="n">
        <v>682</v>
      </c>
      <c r="I187" s="27" t="n">
        <f aca="false">$B$14+$B$13*SUMPRODUCT($P$6:$P$27,EXP(0-((H187-$O$6:$O$27)/1.2)^2))</f>
        <v>0.02</v>
      </c>
      <c r="J187" s="16" t="n">
        <f aca="false">($B$15*(2*hP*cL^2/(H187*0.000000001)^5/(EXP(hP*cL/(H187*0.000000001*kB*$B$11))-1))*EXP(-I187)+(2*hP*cL^2/(H187*0.000000001)^5/(EXP(hP*cL/(H187*0.000000001*kB*$B$12))-1))*(1-EXP(-I187)))/1000000000000</f>
        <v>32.2128750608176</v>
      </c>
      <c r="K187" s="16" t="n">
        <f aca="false">$B$15*(2*hP*cL^2/(H187*0.000000001)^5/(EXP(hP*cL/(H187*0.000000001*kB*$B$11))-1))/1000000000000</f>
        <v>32.7121272285589</v>
      </c>
      <c r="L187" s="16" t="n">
        <f aca="false">(2*hP*cL^2/(H187*0.000000001)^5/(EXP(hP*cL/(H187*0.000000001*kB*$B$12))-1))/1000000000000</f>
        <v>7.49906067622497</v>
      </c>
    </row>
    <row r="188" customFormat="false" ht="15" hidden="false" customHeight="false" outlineLevel="0" collapsed="false">
      <c r="H188" s="20" t="n">
        <v>684</v>
      </c>
      <c r="I188" s="27" t="n">
        <f aca="false">$B$14+$B$13*SUMPRODUCT($P$6:$P$27,EXP(0-((H188-$O$6:$O$27)/1.2)^2))</f>
        <v>0.02</v>
      </c>
      <c r="J188" s="16" t="n">
        <f aca="false">($B$15*(2*hP*cL^2/(H188*0.000000001)^5/(EXP(hP*cL/(H188*0.000000001*kB*$B$11))-1))*EXP(-I188)+(2*hP*cL^2/(H188*0.000000001)^5/(EXP(hP*cL/(H188*0.000000001*kB*$B$12))-1))*(1-EXP(-I188)))/1000000000000</f>
        <v>32.0603401204778</v>
      </c>
      <c r="K188" s="16" t="n">
        <f aca="false">$B$15*(2*hP*cL^2/(H188*0.000000001)^5/(EXP(hP*cL/(H188*0.000000001*kB*$B$11))-1))/1000000000000</f>
        <v>32.5566328075361</v>
      </c>
      <c r="L188" s="16" t="n">
        <f aca="false">(2*hP*cL^2/(H188*0.000000001)^5/(EXP(hP*cL/(H188*0.000000001*kB*$B$12))-1))/1000000000000</f>
        <v>7.49302496213</v>
      </c>
    </row>
    <row r="189" customFormat="false" ht="15" hidden="false" customHeight="false" outlineLevel="0" collapsed="false">
      <c r="H189" s="20" t="n">
        <v>686</v>
      </c>
      <c r="I189" s="27" t="n">
        <f aca="false">$B$14+$B$13*SUMPRODUCT($P$6:$P$27,EXP(0-((H189-$O$6:$O$27)/1.2)^2))</f>
        <v>0.02</v>
      </c>
      <c r="J189" s="16" t="n">
        <f aca="false">($B$15*(2*hP*cL^2/(H189*0.000000001)^5/(EXP(hP*cL/(H189*0.000000001*kB*$B$11))-1))*EXP(-I189)+(2*hP*cL^2/(H189*0.000000001)^5/(EXP(hP*cL/(H189*0.000000001*kB*$B$12))-1))*(1-EXP(-I189)))/1000000000000</f>
        <v>31.9081738515196</v>
      </c>
      <c r="K189" s="16" t="n">
        <f aca="false">$B$15*(2*hP*cL^2/(H189*0.000000001)^5/(EXP(hP*cL/(H189*0.000000001*kB*$B$11))-1))/1000000000000</f>
        <v>32.4015198760694</v>
      </c>
      <c r="L189" s="16" t="n">
        <f aca="false">(2*hP*cL^2/(H189*0.000000001)^5/(EXP(hP*cL/(H189*0.000000001*kB*$B$12))-1))/1000000000000</f>
        <v>7.48672339841107</v>
      </c>
    </row>
    <row r="190" customFormat="false" ht="15" hidden="false" customHeight="false" outlineLevel="0" collapsed="false">
      <c r="H190" s="20" t="n">
        <v>688</v>
      </c>
      <c r="I190" s="27" t="n">
        <f aca="false">$B$14+$B$13*SUMPRODUCT($P$6:$P$27,EXP(0-((H190-$O$6:$O$27)/1.2)^2))</f>
        <v>0.02</v>
      </c>
      <c r="J190" s="16" t="n">
        <f aca="false">($B$15*(2*hP*cL^2/(H190*0.000000001)^5/(EXP(hP*cL/(H190*0.000000001*kB*$B$11))-1))*EXP(-I190)+(2*hP*cL^2/(H190*0.000000001)^5/(EXP(hP*cL/(H190*0.000000001*kB*$B$12))-1))*(1-EXP(-I190)))/1000000000000</f>
        <v>31.7563850337448</v>
      </c>
      <c r="K190" s="16" t="n">
        <f aca="false">$B$15*(2*hP*cL^2/(H190*0.000000001)^5/(EXP(hP*cL/(H190*0.000000001*kB*$B$11))-1))/1000000000000</f>
        <v>32.2467973098621</v>
      </c>
      <c r="L190" s="16" t="n">
        <f aca="false">(2*hP*cL^2/(H190*0.000000001)^5/(EXP(hP*cL/(H190*0.000000001*kB*$B$12))-1))/1000000000000</f>
        <v>7.48016001759119</v>
      </c>
    </row>
    <row r="191" customFormat="false" ht="15" hidden="false" customHeight="false" outlineLevel="0" collapsed="false">
      <c r="H191" s="20" t="n">
        <v>690</v>
      </c>
      <c r="I191" s="27" t="n">
        <f aca="false">$B$14+$B$13*SUMPRODUCT($P$6:$P$27,EXP(0-((H191-$O$6:$O$27)/1.2)^2))</f>
        <v>0.02</v>
      </c>
      <c r="J191" s="16" t="n">
        <f aca="false">($B$15*(2*hP*cL^2/(H191*0.000000001)^5/(EXP(hP*cL/(H191*0.000000001*kB*$B$11))-1))*EXP(-I191)+(2*hP*cL^2/(H191*0.000000001)^5/(EXP(hP*cL/(H191*0.000000001*kB*$B$12))-1))*(1-EXP(-I191)))/1000000000000</f>
        <v>31.6049821821669</v>
      </c>
      <c r="K191" s="16" t="n">
        <f aca="false">$B$15*(2*hP*cL^2/(H191*0.000000001)^5/(EXP(hP*cL/(H191*0.000000001*kB*$B$11))-1))/1000000000000</f>
        <v>32.0924737150584</v>
      </c>
      <c r="L191" s="16" t="n">
        <f aca="false">(2*hP*cL^2/(H191*0.000000001)^5/(EXP(hP*cL/(H191*0.000000001*kB*$B$12))-1))/1000000000000</f>
        <v>7.47333882356737</v>
      </c>
    </row>
    <row r="192" customFormat="false" ht="15" hidden="false" customHeight="false" outlineLevel="0" collapsed="false">
      <c r="H192" s="20" t="n">
        <v>692</v>
      </c>
      <c r="I192" s="27" t="n">
        <f aca="false">$B$14+$B$13*SUMPRODUCT($P$6:$P$27,EXP(0-((H192-$O$6:$O$27)/1.2)^2))</f>
        <v>0.02</v>
      </c>
      <c r="J192" s="16" t="n">
        <f aca="false">($B$15*(2*hP*cL^2/(H192*0.000000001)^5/(EXP(hP*cL/(H192*0.000000001*kB*$B$11))-1))*EXP(-I192)+(2*hP*cL^2/(H192*0.000000001)^5/(EXP(hP*cL/(H192*0.000000001*kB*$B$12))-1))*(1-EXP(-I192)))/1000000000000</f>
        <v>31.4539735522616</v>
      </c>
      <c r="K192" s="16" t="n">
        <f aca="false">$B$15*(2*hP*cL^2/(H192*0.000000001)^5/(EXP(hP*cL/(H192*0.000000001*kB*$B$11))-1))/1000000000000</f>
        <v>31.9385574336075</v>
      </c>
      <c r="L192" s="16" t="n">
        <f aca="false">(2*hP*cL^2/(H192*0.000000001)^5/(EXP(hP*cL/(H192*0.000000001*kB*$B$12))-1))/1000000000000</f>
        <v>7.46626379122287</v>
      </c>
    </row>
    <row r="193" customFormat="false" ht="15" hidden="false" customHeight="false" outlineLevel="0" collapsed="false">
      <c r="H193" s="20" t="n">
        <v>694</v>
      </c>
      <c r="I193" s="27" t="n">
        <f aca="false">$B$14+$B$13*SUMPRODUCT($P$6:$P$27,EXP(0-((H193-$O$6:$O$27)/1.2)^2))</f>
        <v>0.02</v>
      </c>
      <c r="J193" s="16" t="n">
        <f aca="false">($B$15*(2*hP*cL^2/(H193*0.000000001)^5/(EXP(hP*cL/(H193*0.000000001*kB*$B$11))-1))*EXP(-I193)+(2*hP*cL^2/(H193*0.000000001)^5/(EXP(hP*cL/(H193*0.000000001*kB*$B$12))-1))*(1-EXP(-I193)))/1000000000000</f>
        <v>31.3033671451368</v>
      </c>
      <c r="K193" s="16" t="n">
        <f aca="false">$B$15*(2*hP*cL^2/(H193*0.000000001)^5/(EXP(hP*cL/(H193*0.000000001*kB*$B$11))-1))/1000000000000</f>
        <v>31.785056548546</v>
      </c>
      <c r="L193" s="16" t="n">
        <f aca="false">(2*hP*cL^2/(H193*0.000000001)^5/(EXP(hP*cL/(H193*0.000000001*kB*$B$12))-1))/1000000000000</f>
        <v>7.45893886606223</v>
      </c>
    </row>
    <row r="194" customFormat="false" ht="15" hidden="false" customHeight="false" outlineLevel="0" collapsed="false">
      <c r="H194" s="20" t="n">
        <v>696</v>
      </c>
      <c r="I194" s="27" t="n">
        <f aca="false">$B$14+$B$13*SUMPRODUCT($P$6:$P$27,EXP(0-((H194-$O$6:$O$27)/1.2)^2))</f>
        <v>0.02</v>
      </c>
      <c r="J194" s="16" t="n">
        <f aca="false">($B$15*(2*hP*cL^2/(H194*0.000000001)^5/(EXP(hP*cL/(H194*0.000000001*kB*$B$11))-1))*EXP(-I194)+(2*hP*cL^2/(H194*0.000000001)^5/(EXP(hP*cL/(H194*0.000000001*kB*$B$12))-1))*(1-EXP(-I194)))/1000000000000</f>
        <v>31.1531707126216</v>
      </c>
      <c r="K194" s="16" t="n">
        <f aca="false">$B$15*(2*hP*cL^2/(H194*0.000000001)^5/(EXP(hP*cL/(H194*0.000000001*kB*$B$11))-1))/1000000000000</f>
        <v>31.6319788891962</v>
      </c>
      <c r="L194" s="16" t="n">
        <f aca="false">(2*hP*cL^2/(H194*0.000000001)^5/(EXP(hP*cL/(H194*0.000000001*kB*$B$12))-1))/1000000000000</f>
        <v>7.45136796386831</v>
      </c>
    </row>
    <row r="195" customFormat="false" ht="15" hidden="false" customHeight="false" outlineLevel="0" collapsed="false">
      <c r="H195" s="20" t="n">
        <v>698</v>
      </c>
      <c r="I195" s="27" t="n">
        <f aca="false">$B$14+$B$13*SUMPRODUCT($P$6:$P$27,EXP(0-((H195-$O$6:$O$27)/1.2)^2))</f>
        <v>0.02</v>
      </c>
      <c r="J195" s="16" t="n">
        <f aca="false">($B$15*(2*hP*cL^2/(H195*0.000000001)^5/(EXP(hP*cL/(H195*0.000000001*kB*$B$11))-1))*EXP(-I195)+(2*hP*cL^2/(H195*0.000000001)^5/(EXP(hP*cL/(H195*0.000000001*kB*$B$12))-1))*(1-EXP(-I195)))/1000000000000</f>
        <v>31.0033917622752</v>
      </c>
      <c r="K195" s="16" t="n">
        <f aca="false">$B$15*(2*hP*cL^2/(H195*0.000000001)^5/(EXP(hP*cL/(H195*0.000000001*kB*$B$11))-1))/1000000000000</f>
        <v>31.4793320362831</v>
      </c>
      <c r="L195" s="16" t="n">
        <f aca="false">(2*hP*cL^2/(H195*0.000000001)^5/(EXP(hP*cL/(H195*0.000000001*kB*$B$12))-1))/1000000000000</f>
        <v>7.44355497038077</v>
      </c>
    </row>
    <row r="196" customFormat="false" ht="15" hidden="false" customHeight="false" outlineLevel="0" collapsed="false">
      <c r="H196" s="20" t="n">
        <v>700</v>
      </c>
      <c r="I196" s="27" t="n">
        <f aca="false">$B$14+$B$13*SUMPRODUCT($P$6:$P$27,EXP(0-((H196-$O$6:$O$27)/1.2)^2))</f>
        <v>0.02</v>
      </c>
      <c r="J196" s="16" t="n">
        <f aca="false">($B$15*(2*hP*cL^2/(H196*0.000000001)^5/(EXP(hP*cL/(H196*0.000000001*kB*$B$11))-1))*EXP(-I196)+(2*hP*cL^2/(H196*0.000000001)^5/(EXP(hP*cL/(H196*0.000000001*kB*$B$12))-1))*(1-EXP(-I196)))/1000000000000</f>
        <v>30.8540375623169</v>
      </c>
      <c r="K196" s="16" t="n">
        <f aca="false">$B$15*(2*hP*cL^2/(H196*0.000000001)^5/(EXP(hP*cL/(H196*0.000000001*kB*$B$11))-1))/1000000000000</f>
        <v>31.3271233269695</v>
      </c>
      <c r="L196" s="16" t="n">
        <f aca="false">(2*hP*cL^2/(H196*0.000000001)^5/(EXP(hP*cL/(H196*0.000000001*kB*$B$12))-1))/1000000000000</f>
        <v>7.43550374099532</v>
      </c>
    </row>
    <row r="197" customFormat="false" ht="15" hidden="false" customHeight="false" outlineLevel="0" collapsed="false">
      <c r="H197" s="20" t="n">
        <v>702</v>
      </c>
      <c r="I197" s="27" t="n">
        <f aca="false">$B$14+$B$13*SUMPRODUCT($P$6:$P$27,EXP(0-((H197-$O$6:$O$27)/1.2)^2))</f>
        <v>0.02</v>
      </c>
      <c r="J197" s="16" t="n">
        <f aca="false">($B$15*(2*hP*cL^2/(H197*0.000000001)^5/(EXP(hP*cL/(H197*0.000000001*kB*$B$11))-1))*EXP(-I197)+(2*hP*cL^2/(H197*0.000000001)^5/(EXP(hP*cL/(H197*0.000000001*kB*$B$12))-1))*(1-EXP(-I197)))/1000000000000</f>
        <v>30.7051151464769</v>
      </c>
      <c r="K197" s="16" t="n">
        <f aca="false">$B$15*(2*hP*cL^2/(H197*0.000000001)^5/(EXP(hP*cL/(H197*0.000000001*kB*$B$11))-1))/1000000000000</f>
        <v>31.1753598598108</v>
      </c>
      <c r="L197" s="16" t="n">
        <f aca="false">(2*hP*cL^2/(H197*0.000000001)^5/(EXP(hP*cL/(H197*0.000000001*kB*$B$12))-1))/1000000000000</f>
        <v>7.42721810048332</v>
      </c>
    </row>
    <row r="198" customFormat="false" ht="15" hidden="false" customHeight="false" outlineLevel="0" collapsed="false">
      <c r="H198" s="20" t="n">
        <v>704</v>
      </c>
      <c r="I198" s="27" t="n">
        <f aca="false">$B$14+$B$13*SUMPRODUCT($P$6:$P$27,EXP(0-((H198-$O$6:$O$27)/1.2)^2))</f>
        <v>0.02</v>
      </c>
      <c r="J198" s="16" t="n">
        <f aca="false">($B$15*(2*hP*cL^2/(H198*0.000000001)^5/(EXP(hP*cL/(H198*0.000000001*kB*$B$11))-1))*EXP(-I198)+(2*hP*cL^2/(H198*0.000000001)^5/(EXP(hP*cL/(H198*0.000000001*kB*$B$12))-1))*(1-EXP(-I198)))/1000000000000</f>
        <v>30.5566313187692</v>
      </c>
      <c r="K198" s="16" t="n">
        <f aca="false">$B$15*(2*hP*cL^2/(H198*0.000000001)^5/(EXP(hP*cL/(H198*0.000000001*kB*$B$11))-1))/1000000000000</f>
        <v>31.0240484996298</v>
      </c>
      <c r="L198" s="16" t="n">
        <f aca="false">(2*hP*cL^2/(H198*0.000000001)^5/(EXP(hP*cL/(H198*0.000000001*kB*$B$12))-1))/1000000000000</f>
        <v>7.41870184273095</v>
      </c>
    </row>
    <row r="199" customFormat="false" ht="15" hidden="false" customHeight="false" outlineLevel="0" collapsed="false">
      <c r="H199" s="20" t="n">
        <v>706</v>
      </c>
      <c r="I199" s="27" t="n">
        <f aca="false">$B$14+$B$13*SUMPRODUCT($P$6:$P$27,EXP(0-((H199-$O$6:$O$27)/1.2)^2))</f>
        <v>0.02</v>
      </c>
      <c r="J199" s="16" t="n">
        <f aca="false">($B$15*(2*hP*cL^2/(H199*0.000000001)^5/(EXP(hP*cL/(H199*0.000000001*kB*$B$11))-1))*EXP(-I199)+(2*hP*cL^2/(H199*0.000000001)^5/(EXP(hP*cL/(H199*0.000000001*kB*$B$12))-1))*(1-EXP(-I199)))/1000000000000</f>
        <v>30.4085926581877</v>
      </c>
      <c r="K199" s="16" t="n">
        <f aca="false">$B$15*(2*hP*cL^2/(H199*0.000000001)^5/(EXP(hP*cL/(H199*0.000000001*kB*$B$11))-1))/1000000000000</f>
        <v>30.8731958823119</v>
      </c>
      <c r="L199" s="16" t="n">
        <f aca="false">(2*hP*cL^2/(H199*0.000000001)^5/(EXP(hP*cL/(H199*0.000000001*kB*$B$12))-1))/1000000000000</f>
        <v>7.40995873049759</v>
      </c>
    </row>
    <row r="200" customFormat="false" ht="15" hidden="false" customHeight="false" outlineLevel="0" collapsed="false">
      <c r="H200" s="20" t="n">
        <v>708</v>
      </c>
      <c r="I200" s="27" t="n">
        <f aca="false">$B$14+$B$13*SUMPRODUCT($P$6:$P$27,EXP(0-((H200-$O$6:$O$27)/1.2)^2))</f>
        <v>0.02</v>
      </c>
      <c r="J200" s="16" t="n">
        <f aca="false">($B$15*(2*hP*cL^2/(H200*0.000000001)^5/(EXP(hP*cL/(H200*0.000000001*kB*$B$11))-1))*EXP(-I200)+(2*hP*cL^2/(H200*0.000000001)^5/(EXP(hP*cL/(H200*0.000000001*kB*$B$12))-1))*(1-EXP(-I200)))/1000000000000</f>
        <v>30.2610055233254</v>
      </c>
      <c r="K200" s="16" t="n">
        <f aca="false">$B$15*(2*hP*cL^2/(H200*0.000000001)^5/(EXP(hP*cL/(H200*0.000000001*kB*$B$11))-1))/1000000000000</f>
        <v>30.7228084195228</v>
      </c>
      <c r="L200" s="16" t="n">
        <f aca="false">(2*hP*cL^2/(H200*0.000000001)^5/(EXP(hP*cL/(H200*0.000000001*kB*$B$12))-1))/1000000000000</f>
        <v>7.40099249519261</v>
      </c>
    </row>
    <row r="201" customFormat="false" ht="15" hidden="false" customHeight="false" outlineLevel="0" collapsed="false">
      <c r="H201" s="20" t="n">
        <v>710</v>
      </c>
      <c r="I201" s="27" t="n">
        <f aca="false">$B$14+$B$13*SUMPRODUCT($P$6:$P$27,EXP(0-((H201-$O$6:$O$27)/1.2)^2))</f>
        <v>0.02</v>
      </c>
      <c r="J201" s="16" t="n">
        <f aca="false">($B$15*(2*hP*cL^2/(H201*0.000000001)^5/(EXP(hP*cL/(H201*0.000000001*kB*$B$11))-1))*EXP(-I201)+(2*hP*cL^2/(H201*0.000000001)^5/(EXP(hP*cL/(H201*0.000000001*kB*$B$12))-1))*(1-EXP(-I201)))/1000000000000</f>
        <v>30.1138760569179</v>
      </c>
      <c r="K201" s="16" t="n">
        <f aca="false">$B$15*(2*hP*cL^2/(H201*0.000000001)^5/(EXP(hP*cL/(H201*0.000000001*kB*$B$11))-1))/1000000000000</f>
        <v>30.5728923033477</v>
      </c>
      <c r="L201" s="16" t="n">
        <f aca="false">(2*hP*cL^2/(H201*0.000000001)^5/(EXP(hP*cL/(H201*0.000000001*kB*$B$12))-1))/1000000000000</f>
        <v>7.39180683667027</v>
      </c>
    </row>
    <row r="202" customFormat="false" ht="15" hidden="false" customHeight="false" outlineLevel="0" collapsed="false">
      <c r="H202" s="20" t="n">
        <v>712</v>
      </c>
      <c r="I202" s="27" t="n">
        <f aca="false">$B$14+$B$13*SUMPRODUCT($P$6:$P$27,EXP(0-((H202-$O$6:$O$27)/1.2)^2))</f>
        <v>0.02</v>
      </c>
      <c r="J202" s="16" t="n">
        <f aca="false">($B$15*(2*hP*cL^2/(H202*0.000000001)^5/(EXP(hP*cL/(H202*0.000000001*kB*$B$11))-1))*EXP(-I202)+(2*hP*cL^2/(H202*0.000000001)^5/(EXP(hP*cL/(H202*0.000000001*kB*$B$12))-1))*(1-EXP(-I202)))/1000000000000</f>
        <v>29.9672101903127</v>
      </c>
      <c r="K202" s="16" t="n">
        <f aca="false">$B$15*(2*hP*cL^2/(H202*0.000000001)^5/(EXP(hP*cL/(H202*0.000000001*kB*$B$11))-1))/1000000000000</f>
        <v>30.4234535108543</v>
      </c>
      <c r="L202" s="16" t="n">
        <f aca="false">(2*hP*cL^2/(H202*0.000000001)^5/(EXP(hP*cL/(H202*0.000000001*kB*$B$12))-1))/1000000000000</f>
        <v>7.38240542304207</v>
      </c>
    </row>
    <row r="203" customFormat="false" ht="15" hidden="false" customHeight="false" outlineLevel="0" collapsed="false">
      <c r="H203" s="20" t="n">
        <v>714</v>
      </c>
      <c r="I203" s="27" t="n">
        <f aca="false">$B$14+$B$13*SUMPRODUCT($P$6:$P$27,EXP(0-((H203-$O$6:$O$27)/1.2)^2))</f>
        <v>0.02</v>
      </c>
      <c r="J203" s="16" t="n">
        <f aca="false">($B$15*(2*hP*cL^2/(H203*0.000000001)^5/(EXP(hP*cL/(H203*0.000000001*kB*$B$11))-1))*EXP(-I203)+(2*hP*cL^2/(H203*0.000000001)^5/(EXP(hP*cL/(H203*0.000000001*kB*$B$12))-1))*(1-EXP(-I203)))/1000000000000</f>
        <v>29.8210136478631</v>
      </c>
      <c r="K203" s="16" t="n">
        <f aca="false">$B$15*(2*hP*cL^2/(H203*0.000000001)^5/(EXP(hP*cL/(H203*0.000000001*kB*$B$11))-1))/1000000000000</f>
        <v>30.2744978085795</v>
      </c>
      <c r="L203" s="16" t="n">
        <f aca="false">(2*hP*cL^2/(H203*0.000000001)^5/(EXP(hP*cL/(H203*0.000000001*kB*$B$12))-1))/1000000000000</f>
        <v>7.37279189050601</v>
      </c>
    </row>
    <row r="204" customFormat="false" ht="15" hidden="false" customHeight="false" outlineLevel="0" collapsed="false">
      <c r="H204" s="20" t="n">
        <v>716</v>
      </c>
      <c r="I204" s="27" t="n">
        <f aca="false">$B$14+$B$13*SUMPRODUCT($P$6:$P$27,EXP(0-((H204-$O$6:$O$27)/1.2)^2))</f>
        <v>0.02</v>
      </c>
      <c r="J204" s="16" t="n">
        <f aca="false">($B$15*(2*hP*cL^2/(H204*0.000000001)^5/(EXP(hP*cL/(H204*0.000000001*kB*$B$11))-1))*EXP(-I204)+(2*hP*cL^2/(H204*0.000000001)^5/(EXP(hP*cL/(H204*0.000000001*kB*$B$12))-1))*(1-EXP(-I204)))/1000000000000</f>
        <v>29.6752919512498</v>
      </c>
      <c r="K204" s="16" t="n">
        <f aca="false">$B$15*(2*hP*cL^2/(H204*0.000000001)^5/(EXP(hP*cL/(H204*0.000000001*kB*$B$11))-1))/1000000000000</f>
        <v>30.1260307569412</v>
      </c>
      <c r="L204" s="16" t="n">
        <f aca="false">(2*hP*cL^2/(H204*0.000000001)^5/(EXP(hP*cL/(H204*0.000000001*kB*$B$12))-1))/1000000000000</f>
        <v>7.36296984319233</v>
      </c>
    </row>
    <row r="205" customFormat="false" ht="15" hidden="false" customHeight="false" outlineLevel="0" collapsed="false">
      <c r="H205" s="20" t="n">
        <v>718</v>
      </c>
      <c r="I205" s="27" t="n">
        <f aca="false">$B$14+$B$13*SUMPRODUCT($P$6:$P$27,EXP(0-((H205-$O$6:$O$27)/1.2)^2))</f>
        <v>0.02</v>
      </c>
      <c r="J205" s="16" t="n">
        <f aca="false">($B$15*(2*hP*cL^2/(H205*0.000000001)^5/(EXP(hP*cL/(H205*0.000000001*kB*$B$11))-1))*EXP(-I205)+(2*hP*cL^2/(H205*0.000000001)^5/(EXP(hP*cL/(H205*0.000000001*kB*$B$12))-1))*(1-EXP(-I205)))/1000000000000</f>
        <v>29.5300504237296</v>
      </c>
      <c r="K205" s="16" t="n">
        <f aca="false">$B$15*(2*hP*cL^2/(H205*0.000000001)^5/(EXP(hP*cL/(H205*0.000000001*kB*$B$11))-1))/1000000000000</f>
        <v>29.9780577145754</v>
      </c>
      <c r="L205" s="16" t="n">
        <f aca="false">(2*hP*cL^2/(H205*0.000000001)^5/(EXP(hP*cL/(H205*0.000000001*kB*$B$12))-1))/1000000000000</f>
        <v>7.35294285302515</v>
      </c>
    </row>
    <row r="206" customFormat="false" ht="15" hidden="false" customHeight="false" outlineLevel="0" collapsed="false">
      <c r="H206" s="20" t="n">
        <v>720</v>
      </c>
      <c r="I206" s="27" t="n">
        <f aca="false">$B$14+$B$13*SUMPRODUCT($P$6:$P$27,EXP(0-((H206-$O$6:$O$27)/1.2)^2))</f>
        <v>0.02</v>
      </c>
      <c r="J206" s="16" t="n">
        <f aca="false">($B$15*(2*hP*cL^2/(H206*0.000000001)^5/(EXP(hP*cL/(H206*0.000000001*kB*$B$11))-1))*EXP(-I206)+(2*hP*cL^2/(H206*0.000000001)^5/(EXP(hP*cL/(H206*0.000000001*kB*$B$12))-1))*(1-EXP(-I206)))/1000000000000</f>
        <v>29.3852941943125</v>
      </c>
      <c r="K206" s="16" t="n">
        <f aca="false">$B$15*(2*hP*cL^2/(H206*0.000000001)^5/(EXP(hP*cL/(H206*0.000000001*kB*$B$11))-1))/1000000000000</f>
        <v>29.8305838426003</v>
      </c>
      <c r="L206" s="16" t="n">
        <f aca="false">(2*hP*cL^2/(H206*0.000000001)^5/(EXP(hP*cL/(H206*0.000000001*kB*$B$12))-1))/1000000000000</f>
        <v>7.34271445959959</v>
      </c>
    </row>
    <row r="207" customFormat="false" ht="15" hidden="false" customHeight="false" outlineLevel="0" collapsed="false">
      <c r="H207" s="20" t="n">
        <v>722</v>
      </c>
      <c r="I207" s="27" t="n">
        <f aca="false">$B$14+$B$13*SUMPRODUCT($P$6:$P$27,EXP(0-((H207-$O$6:$O$27)/1.2)^2))</f>
        <v>0.02</v>
      </c>
      <c r="J207" s="16" t="n">
        <f aca="false">($B$15*(2*hP*cL^2/(H207*0.000000001)^5/(EXP(hP*cL/(H207*0.000000001*kB*$B$11))-1))*EXP(-I207)+(2*hP*cL^2/(H207*0.000000001)^5/(EXP(hP*cL/(H207*0.000000001*kB*$B$12))-1))*(1-EXP(-I207)))/1000000000000</f>
        <v>29.2410282018674</v>
      </c>
      <c r="K207" s="16" t="n">
        <f aca="false">$B$15*(2*hP*cL^2/(H207*0.000000001)^5/(EXP(hP*cL/(H207*0.000000001*kB*$B$11))-1))/1000000000000</f>
        <v>29.6836141088074</v>
      </c>
      <c r="L207" s="16" t="n">
        <f aca="false">(2*hP*cL^2/(H207*0.000000001)^5/(EXP(hP*cL/(H207*0.000000001*kB*$B$12))-1))/1000000000000</f>
        <v>7.33228817007387</v>
      </c>
    </row>
    <row r="208" customFormat="false" ht="15" hidden="false" customHeight="false" outlineLevel="0" collapsed="false">
      <c r="H208" s="20" t="n">
        <v>724</v>
      </c>
      <c r="I208" s="27" t="n">
        <f aca="false">$B$14+$B$13*SUMPRODUCT($P$6:$P$27,EXP(0-((H208-$O$6:$O$27)/1.2)^2))</f>
        <v>0.02</v>
      </c>
      <c r="J208" s="16" t="n">
        <f aca="false">($B$15*(2*hP*cL^2/(H208*0.000000001)^5/(EXP(hP*cL/(H208*0.000000001*kB*$B$11))-1))*EXP(-I208)+(2*hP*cL^2/(H208*0.000000001)^5/(EXP(hP*cL/(H208*0.000000001*kB*$B$12))-1))*(1-EXP(-I208)))/1000000000000</f>
        <v>29.0972571991585</v>
      </c>
      <c r="K208" s="16" t="n">
        <f aca="false">$B$15*(2*hP*cL^2/(H208*0.000000001)^5/(EXP(hP*cL/(H208*0.000000001*kB*$B$11))-1))/1000000000000</f>
        <v>29.5371532917811</v>
      </c>
      <c r="L208" s="16" t="n">
        <f aca="false">(2*hP*cL^2/(H208*0.000000001)^5/(EXP(hP*cL/(H208*0.000000001*kB*$B$12))-1))/1000000000000</f>
        <v>7.32166745907581</v>
      </c>
    </row>
    <row r="209" customFormat="false" ht="15" hidden="false" customHeight="false" outlineLevel="0" collapsed="false">
      <c r="H209" s="20" t="n">
        <v>726</v>
      </c>
      <c r="I209" s="27" t="n">
        <f aca="false">$B$14+$B$13*SUMPRODUCT($P$6:$P$27,EXP(0-((H209-$O$6:$O$27)/1.2)^2))</f>
        <v>0.02</v>
      </c>
      <c r="J209" s="16" t="n">
        <f aca="false">($B$15*(2*hP*cL^2/(H209*0.000000001)^5/(EXP(hP*cL/(H209*0.000000001*kB*$B$11))-1))*EXP(-I209)+(2*hP*cL^2/(H209*0.000000001)^5/(EXP(hP*cL/(H209*0.000000001*kB*$B$12))-1))*(1-EXP(-I209)))/1000000000000</f>
        <v>28.9539857568123</v>
      </c>
      <c r="K209" s="16" t="n">
        <f aca="false">$B$15*(2*hP*cL^2/(H209*0.000000001)^5/(EXP(hP*cL/(H209*0.000000001*kB*$B$11))-1))/1000000000000</f>
        <v>29.391205984947</v>
      </c>
      <c r="L209" s="16" t="n">
        <f aca="false">(2*hP*cL^2/(H209*0.000000001)^5/(EXP(hP*cL/(H209*0.000000001*kB*$B$12))-1))/1000000000000</f>
        <v>7.3108557686235</v>
      </c>
    </row>
    <row r="210" customFormat="false" ht="15" hidden="false" customHeight="false" outlineLevel="0" collapsed="false">
      <c r="H210" s="20" t="n">
        <v>728</v>
      </c>
      <c r="I210" s="27" t="n">
        <f aca="false">$B$14+$B$13*SUMPRODUCT($P$6:$P$27,EXP(0-((H210-$O$6:$O$27)/1.2)^2))</f>
        <v>0.02</v>
      </c>
      <c r="J210" s="16" t="n">
        <f aca="false">($B$15*(2*hP*cL^2/(H210*0.000000001)^5/(EXP(hP*cL/(H210*0.000000001*kB*$B$11))-1))*EXP(-I210)+(2*hP*cL^2/(H210*0.000000001)^5/(EXP(hP*cL/(H210*0.000000001*kB*$B$12))-1))*(1-EXP(-I210)))/1000000000000</f>
        <v>28.8112182672153</v>
      </c>
      <c r="K210" s="16" t="n">
        <f aca="false">$B$15*(2*hP*cL^2/(H210*0.000000001)^5/(EXP(hP*cL/(H210*0.000000001*kB*$B$11))-1))/1000000000000</f>
        <v>29.2457766005506</v>
      </c>
      <c r="L210" s="16" t="n">
        <f aca="false">(2*hP*cL^2/(H210*0.000000001)^5/(EXP(hP*cL/(H210*0.000000001*kB*$B$12))-1))/1000000000000</f>
        <v>7.2998565080595</v>
      </c>
    </row>
    <row r="211" customFormat="false" ht="15" hidden="false" customHeight="false" outlineLevel="0" collapsed="false">
      <c r="H211" s="20" t="n">
        <v>730</v>
      </c>
      <c r="I211" s="27" t="n">
        <f aca="false">$B$14+$B$13*SUMPRODUCT($P$6:$P$27,EXP(0-((H211-$O$6:$O$27)/1.2)^2))</f>
        <v>0.02</v>
      </c>
      <c r="J211" s="16" t="n">
        <f aca="false">($B$15*(2*hP*cL^2/(H211*0.000000001)^5/(EXP(hP*cL/(H211*0.000000001*kB*$B$11))-1))*EXP(-I211)+(2*hP*cL^2/(H211*0.000000001)^5/(EXP(hP*cL/(H211*0.000000001*kB*$B$12))-1))*(1-EXP(-I211)))/1000000000000</f>
        <v>28.6689589483456</v>
      </c>
      <c r="K211" s="16" t="n">
        <f aca="false">$B$15*(2*hP*cL^2/(H211*0.000000001)^5/(EXP(hP*cL/(H211*0.000000001*kB*$B$11))-1))/1000000000000</f>
        <v>29.1008693735666</v>
      </c>
      <c r="L211" s="16" t="n">
        <f aca="false">(2*hP*cL^2/(H211*0.000000001)^5/(EXP(hP*cL/(H211*0.000000001*kB*$B$12))-1))/1000000000000</f>
        <v>7.28867305399815</v>
      </c>
    </row>
    <row r="212" customFormat="false" ht="15" hidden="false" customHeight="false" outlineLevel="0" collapsed="false">
      <c r="H212" s="20" t="n">
        <v>732</v>
      </c>
      <c r="I212" s="27" t="n">
        <f aca="false">$B$14+$B$13*SUMPRODUCT($P$6:$P$27,EXP(0-((H212-$O$6:$O$27)/1.2)^2))</f>
        <v>0.02</v>
      </c>
      <c r="J212" s="16" t="n">
        <f aca="false">($B$15*(2*hP*cL^2/(H212*0.000000001)^5/(EXP(hP*cL/(H212*0.000000001*kB*$B$11))-1))*EXP(-I212)+(2*hP*cL^2/(H212*0.000000001)^5/(EXP(hP*cL/(H212*0.000000001*kB*$B$12))-1))*(1-EXP(-I212)))/1000000000000</f>
        <v>28.5272118475366</v>
      </c>
      <c r="K212" s="16" t="n">
        <f aca="false">$B$15*(2*hP*cL^2/(H212*0.000000001)^5/(EXP(hP*cL/(H212*0.000000001*kB*$B$11))-1))/1000000000000</f>
        <v>28.9564883655398</v>
      </c>
      <c r="L212" s="16" t="n">
        <f aca="false">(2*hP*cL^2/(H212*0.000000001)^5/(EXP(hP*cL/(H212*0.000000001*kB*$B$12))-1))/1000000000000</f>
        <v>7.27730875028561</v>
      </c>
    </row>
    <row r="213" customFormat="false" ht="15" hidden="false" customHeight="false" outlineLevel="0" collapsed="false">
      <c r="H213" s="20" t="n">
        <v>734</v>
      </c>
      <c r="I213" s="27" t="n">
        <f aca="false">$B$14+$B$13*SUMPRODUCT($P$6:$P$27,EXP(0-((H213-$O$6:$O$27)/1.2)^2))</f>
        <v>0.02</v>
      </c>
      <c r="J213" s="16" t="n">
        <f aca="false">($B$15*(2*hP*cL^2/(H213*0.000000001)^5/(EXP(hP*cL/(H213*0.000000001*kB*$B$11))-1))*EXP(-I213)+(2*hP*cL^2/(H213*0.000000001)^5/(EXP(hP*cL/(H213*0.000000001*kB*$B$12))-1))*(1-EXP(-I213)))/1000000000000</f>
        <v>28.3859808451755</v>
      </c>
      <c r="K213" s="16" t="n">
        <f aca="false">$B$15*(2*hP*cL^2/(H213*0.000000001)^5/(EXP(hP*cL/(H213*0.000000001*kB*$B$11))-1))/1000000000000</f>
        <v>28.8126374683588</v>
      </c>
      <c r="L213" s="16" t="n">
        <f aca="false">(2*hP*cL^2/(H213*0.000000001)^5/(EXP(hP*cL/(H213*0.000000001*kB*$B$12))-1))/1000000000000</f>
        <v>7.26576690797234</v>
      </c>
    </row>
    <row r="214" customFormat="false" ht="15" hidden="false" customHeight="false" outlineLevel="0" collapsed="false">
      <c r="H214" s="20" t="n">
        <v>736</v>
      </c>
      <c r="I214" s="27" t="n">
        <f aca="false">$B$14+$B$13*SUMPRODUCT($P$6:$P$27,EXP(0-((H214-$O$6:$O$27)/1.2)^2))</f>
        <v>0.02</v>
      </c>
      <c r="J214" s="16" t="n">
        <f aca="false">($B$15*(2*hP*cL^2/(H214*0.000000001)^5/(EXP(hP*cL/(H214*0.000000001*kB*$B$11))-1))*EXP(-I214)+(2*hP*cL^2/(H214*0.000000001)^5/(EXP(hP*cL/(H214*0.000000001*kB*$B$12))-1))*(1-EXP(-I214)))/1000000000000</f>
        <v>28.2452696583364</v>
      </c>
      <c r="K214" s="16" t="n">
        <f aca="false">$B$15*(2*hP*cL^2/(H214*0.000000001)^5/(EXP(hP*cL/(H214*0.000000001*kB*$B$11))-1))/1000000000000</f>
        <v>28.6693204079627</v>
      </c>
      <c r="L214" s="16" t="n">
        <f aca="false">(2*hP*cL^2/(H214*0.000000001)^5/(EXP(hP*cL/(H214*0.000000001*kB*$B$12))-1))/1000000000000</f>
        <v>7.25405080529722</v>
      </c>
    </row>
    <row r="215" customFormat="false" ht="15" hidden="false" customHeight="false" outlineLevel="0" collapsed="false">
      <c r="H215" s="20" t="n">
        <v>738</v>
      </c>
      <c r="I215" s="27" t="n">
        <f aca="false">$B$14+$B$13*SUMPRODUCT($P$6:$P$27,EXP(0-((H215-$O$6:$O$27)/1.2)^2))</f>
        <v>0.02</v>
      </c>
      <c r="J215" s="16" t="n">
        <f aca="false">($B$15*(2*hP*cL^2/(H215*0.000000001)^5/(EXP(hP*cL/(H215*0.000000001*kB*$B$11))-1))*EXP(-I215)+(2*hP*cL^2/(H215*0.000000001)^5/(EXP(hP*cL/(H215*0.000000001*kB*$B$12))-1))*(1-EXP(-I215)))/1000000000000</f>
        <v>28.1050818443498</v>
      </c>
      <c r="K215" s="16" t="n">
        <f aca="false">$B$15*(2*hP*cL^2/(H215*0.000000001)^5/(EXP(hP*cL/(H215*0.000000001*kB*$B$11))-1))/1000000000000</f>
        <v>28.526540747983</v>
      </c>
      <c r="L215" s="16" t="n">
        <f aca="false">(2*hP*cL^2/(H215*0.000000001)^5/(EXP(hP*cL/(H215*0.000000001*kB*$B$12))-1))/1000000000000</f>
        <v>7.2421636876834</v>
      </c>
    </row>
    <row r="216" customFormat="false" ht="15" hidden="false" customHeight="false" outlineLevel="0" collapsed="false">
      <c r="H216" s="20" t="n">
        <v>740</v>
      </c>
      <c r="I216" s="27" t="n">
        <f aca="false">$B$14+$B$13*SUMPRODUCT($P$6:$P$27,EXP(0-((H216-$O$6:$O$27)/1.2)^2))</f>
        <v>0.02</v>
      </c>
      <c r="J216" s="16" t="n">
        <f aca="false">($B$15*(2*hP*cL^2/(H216*0.000000001)^5/(EXP(hP*cL/(H216*0.000000001*kB*$B$11))-1))*EXP(-I216)+(2*hP*cL^2/(H216*0.000000001)^5/(EXP(hP*cL/(H216*0.000000001*kB*$B$12))-1))*(1-EXP(-I216)))/1000000000000</f>
        <v>27.965420804308</v>
      </c>
      <c r="K216" s="16" t="n">
        <f aca="false">$B$15*(2*hP*cL^2/(H216*0.000000001)^5/(EXP(hP*cL/(H216*0.000000001*kB*$B$11))-1))/1000000000000</f>
        <v>28.3843018933195</v>
      </c>
      <c r="L216" s="16" t="n">
        <f aca="false">(2*hP*cL^2/(H216*0.000000001)^5/(EXP(hP*cL/(H216*0.000000001*kB*$B$12))-1))/1000000000000</f>
        <v>7.23010876774508</v>
      </c>
    </row>
    <row r="217" customFormat="false" ht="15" hidden="false" customHeight="false" outlineLevel="0" collapsed="false">
      <c r="H217" s="20" t="n">
        <v>742</v>
      </c>
      <c r="I217" s="27" t="n">
        <f aca="false">$B$14+$B$13*SUMPRODUCT($P$6:$P$27,EXP(0-((H217-$O$6:$O$27)/1.2)^2))</f>
        <v>0.02</v>
      </c>
      <c r="J217" s="16" t="n">
        <f aca="false">($B$15*(2*hP*cL^2/(H217*0.000000001)^5/(EXP(hP*cL/(H217*0.000000001*kB*$B$11))-1))*EXP(-I217)+(2*hP*cL^2/(H217*0.000000001)^5/(EXP(hP*cL/(H217*0.000000001*kB*$B$12))-1))*(1-EXP(-I217)))/1000000000000</f>
        <v>27.8262897865085</v>
      </c>
      <c r="K217" s="16" t="n">
        <f aca="false">$B$15*(2*hP*cL^2/(H217*0.000000001)^5/(EXP(hP*cL/(H217*0.000000001*kB*$B$11))-1))/1000000000000</f>
        <v>28.2426070936529</v>
      </c>
      <c r="L217" s="16" t="n">
        <f aca="false">(2*hP*cL^2/(H217*0.000000001)^5/(EXP(hP*cL/(H217*0.000000001*kB*$B$12))-1))/1000000000000</f>
        <v>7.21788922530508</v>
      </c>
    </row>
    <row r="218" customFormat="false" ht="15" hidden="false" customHeight="false" outlineLevel="0" collapsed="false">
      <c r="H218" s="20" t="n">
        <v>744</v>
      </c>
      <c r="I218" s="27" t="n">
        <f aca="false">$B$14+$B$13*SUMPRODUCT($P$6:$P$27,EXP(0-((H218-$O$6:$O$27)/1.2)^2))</f>
        <v>0.02</v>
      </c>
      <c r="J218" s="16" t="n">
        <f aca="false">($B$15*(2*hP*cL^2/(H218*0.000000001)^5/(EXP(hP*cL/(H218*0.000000001*kB*$B$11))-1))*EXP(-I218)+(2*hP*cL^2/(H218*0.000000001)^5/(EXP(hP*cL/(H218*0.000000001*kB*$B$12))-1))*(1-EXP(-I218)))/1000000000000</f>
        <v>27.687691889836</v>
      </c>
      <c r="K218" s="16" t="n">
        <f aca="false">$B$15*(2*hP*cL^2/(H218*0.000000001)^5/(EXP(hP*cL/(H218*0.000000001*kB*$B$11))-1))/1000000000000</f>
        <v>28.1014594468949</v>
      </c>
      <c r="L218" s="16" t="n">
        <f aca="false">(2*hP*cL^2/(H218*0.000000001)^5/(EXP(hP*cL/(H218*0.000000001*kB*$B$12))-1))/1000000000000</f>
        <v>7.20550820742275</v>
      </c>
    </row>
    <row r="219" customFormat="false" ht="15" hidden="false" customHeight="false" outlineLevel="0" collapsed="false">
      <c r="H219" s="20" t="n">
        <v>746</v>
      </c>
      <c r="I219" s="27" t="n">
        <f aca="false">$B$14+$B$13*SUMPRODUCT($P$6:$P$27,EXP(0-((H219-$O$6:$O$27)/1.2)^2))</f>
        <v>0.02</v>
      </c>
      <c r="J219" s="16" t="n">
        <f aca="false">($B$15*(2*hP*cL^2/(H219*0.000000001)^5/(EXP(hP*cL/(H219*0.000000001*kB*$B$11))-1))*EXP(-I219)+(2*hP*cL^2/(H219*0.000000001)^5/(EXP(hP*cL/(H219*0.000000001*kB*$B$12))-1))*(1-EXP(-I219)))/1000000000000</f>
        <v>27.5496300670833</v>
      </c>
      <c r="K219" s="16" t="n">
        <f aca="false">$B$15*(2*hP*cL^2/(H219*0.000000001)^5/(EXP(hP*cL/(H219*0.000000001*kB*$B$11))-1))/1000000000000</f>
        <v>27.9608619025748</v>
      </c>
      <c r="L219" s="16" t="n">
        <f aca="false">(2*hP*cL^2/(H219*0.000000001)^5/(EXP(hP*cL/(H219*0.000000001*kB*$B$12))-1))/1000000000000</f>
        <v>7.19296882843185</v>
      </c>
    </row>
    <row r="220" customFormat="false" ht="15" hidden="false" customHeight="false" outlineLevel="0" collapsed="false">
      <c r="H220" s="20" t="n">
        <v>748</v>
      </c>
      <c r="I220" s="27" t="n">
        <f aca="false">$B$14+$B$13*SUMPRODUCT($P$6:$P$27,EXP(0-((H220-$O$6:$O$27)/1.2)^2))</f>
        <v>0.02</v>
      </c>
      <c r="J220" s="16" t="n">
        <f aca="false">($B$15*(2*hP*cL^2/(H220*0.000000001)^5/(EXP(hP*cL/(H220*0.000000001*kB*$B$11))-1))*EXP(-I220)+(2*hP*cL^2/(H220*0.000000001)^5/(EXP(hP*cL/(H220*0.000000001*kB*$B$12))-1))*(1-EXP(-I220)))/1000000000000</f>
        <v>27.4121071282118</v>
      </c>
      <c r="K220" s="16" t="n">
        <f aca="false">$B$15*(2*hP*cL^2/(H220*0.000000001)^5/(EXP(hP*cL/(H220*0.000000001*kB*$B$11))-1))/1000000000000</f>
        <v>27.8208172651655</v>
      </c>
      <c r="L220" s="16" t="n">
        <f aca="false">(2*hP*cL^2/(H220*0.000000001)^5/(EXP(hP*cL/(H220*0.000000001*kB*$B$12))-1))/1000000000000</f>
        <v>7.180274169988</v>
      </c>
    </row>
    <row r="221" customFormat="false" ht="15" hidden="false" customHeight="false" outlineLevel="0" collapsed="false">
      <c r="H221" s="20" t="n">
        <v>750</v>
      </c>
      <c r="I221" s="27" t="n">
        <f aca="false">$B$14+$B$13*SUMPRODUCT($P$6:$P$27,EXP(0-((H221-$O$6:$O$27)/1.2)^2))</f>
        <v>0.02</v>
      </c>
      <c r="J221" s="16" t="n">
        <f aca="false">($B$15*(2*hP*cL^2/(H221*0.000000001)^5/(EXP(hP*cL/(H221*0.000000001*kB*$B$11))-1))*EXP(-I221)+(2*hP*cL^2/(H221*0.000000001)^5/(EXP(hP*cL/(H221*0.000000001*kB*$B$12))-1))*(1-EXP(-I221)))/1000000000000</f>
        <v>27.2751257435543</v>
      </c>
      <c r="K221" s="16" t="n">
        <f aca="false">$B$15*(2*hP*cL^2/(H221*0.000000001)^5/(EXP(hP*cL/(H221*0.000000001*kB*$B$11))-1))/1000000000000</f>
        <v>27.6813281973493</v>
      </c>
      <c r="L221" s="16" t="n">
        <f aca="false">(2*hP*cL^2/(H221*0.000000001)^5/(EXP(hP*cL/(H221*0.000000001*kB*$B$12))-1))/1000000000000</f>
        <v>7.16742728112546</v>
      </c>
    </row>
    <row r="222" customFormat="false" ht="15" hidden="false" customHeight="false" outlineLevel="0" collapsed="false">
      <c r="H222" s="20" t="n">
        <v>752</v>
      </c>
      <c r="I222" s="27" t="n">
        <f aca="false">$B$14+$B$13*SUMPRODUCT($P$6:$P$27,EXP(0-((H222-$O$6:$O$27)/1.2)^2))</f>
        <v>0.02</v>
      </c>
      <c r="J222" s="16" t="n">
        <f aca="false">($B$15*(2*hP*cL^2/(H222*0.000000001)^5/(EXP(hP*cL/(H222*0.000000001*kB*$B$11))-1))*EXP(-I222)+(2*hP*cL^2/(H222*0.000000001)^5/(EXP(hP*cL/(H222*0.000000001*kB*$B$12))-1))*(1-EXP(-I222)))/1000000000000</f>
        <v>27.138688446958</v>
      </c>
      <c r="K222" s="16" t="n">
        <f aca="false">$B$15*(2*hP*cL^2/(H222*0.000000001)^5/(EXP(hP*cL/(H222*0.000000001*kB*$B$11))-1))/1000000000000</f>
        <v>27.5423972232239</v>
      </c>
      <c r="L222" s="16" t="n">
        <f aca="false">(2*hP*cL^2/(H222*0.000000001)^5/(EXP(hP*cL/(H222*0.000000001*kB*$B$12))-1))/1000000000000</f>
        <v>7.15443117832287</v>
      </c>
    </row>
    <row r="223" customFormat="false" ht="15" hidden="false" customHeight="false" outlineLevel="0" collapsed="false">
      <c r="H223" s="20" t="n">
        <v>754</v>
      </c>
      <c r="I223" s="27" t="n">
        <f aca="false">$B$14+$B$13*SUMPRODUCT($P$6:$P$27,EXP(0-((H223-$O$6:$O$27)/1.2)^2))</f>
        <v>0.02</v>
      </c>
      <c r="J223" s="16" t="n">
        <f aca="false">($B$15*(2*hP*cL^2/(H223*0.000000001)^5/(EXP(hP*cL/(H223*0.000000001*kB*$B$11))-1))*EXP(-I223)+(2*hP*cL^2/(H223*0.000000001)^5/(EXP(hP*cL/(H223*0.000000001*kB*$B$12))-1))*(1-EXP(-I223)))/1000000000000</f>
        <v>27.0027976388709</v>
      </c>
      <c r="K223" s="16" t="n">
        <f aca="false">$B$15*(2*hP*cL^2/(H223*0.000000001)^5/(EXP(hP*cL/(H223*0.000000001*kB*$B$11))-1))/1000000000000</f>
        <v>27.4040267314486</v>
      </c>
      <c r="L223" s="16" t="n">
        <f aca="false">(2*hP*cL^2/(H223*0.000000001)^5/(EXP(hP*cL/(H223*0.000000001*kB*$B$12))-1))/1000000000000</f>
        <v>7.14128884557749</v>
      </c>
    </row>
    <row r="224" customFormat="false" ht="15" hidden="false" customHeight="false" outlineLevel="0" collapsed="false">
      <c r="H224" s="20" t="n">
        <v>756</v>
      </c>
      <c r="I224" s="27" t="n">
        <f aca="false">$B$14+$B$13*SUMPRODUCT($P$6:$P$27,EXP(0-((H224-$O$6:$O$27)/1.2)^2))</f>
        <v>0.02</v>
      </c>
      <c r="J224" s="16" t="n">
        <f aca="false">($B$15*(2*hP*cL^2/(H224*0.000000001)^5/(EXP(hP*cL/(H224*0.000000001*kB*$B$11))-1))*EXP(-I224)+(2*hP*cL^2/(H224*0.000000001)^5/(EXP(hP*cL/(H224*0.000000001*kB*$B$12))-1))*(1-EXP(-I224)))/1000000000000</f>
        <v>26.8674555893716</v>
      </c>
      <c r="K224" s="16" t="n">
        <f aca="false">$B$15*(2*hP*cL^2/(H224*0.000000001)^5/(EXP(hP*cL/(H224*0.000000001*kB*$B$11))-1))/1000000000000</f>
        <v>27.2662189783346</v>
      </c>
      <c r="L224" s="16" t="n">
        <f aca="false">(2*hP*cL^2/(H224*0.000000001)^5/(EXP(hP*cL/(H224*0.000000001*kB*$B$12))-1))/1000000000000</f>
        <v>7.12800323448782</v>
      </c>
    </row>
    <row r="225" customFormat="false" ht="15" hidden="false" customHeight="false" outlineLevel="0" collapsed="false">
      <c r="H225" s="20" t="n">
        <v>758</v>
      </c>
      <c r="I225" s="27" t="n">
        <f aca="false">$B$14+$B$13*SUMPRODUCT($P$6:$P$27,EXP(0-((H225-$O$6:$O$27)/1.2)^2))</f>
        <v>0.02</v>
      </c>
      <c r="J225" s="16" t="n">
        <f aca="false">($B$15*(2*hP*cL^2/(H225*0.000000001)^5/(EXP(hP*cL/(H225*0.000000001*kB*$B$11))-1))*EXP(-I225)+(2*hP*cL^2/(H225*0.000000001)^5/(EXP(hP*cL/(H225*0.000000001*kB*$B$12))-1))*(1-EXP(-I225)))/1000000000000</f>
        <v>26.7326644411434</v>
      </c>
      <c r="K225" s="16" t="n">
        <f aca="false">$B$15*(2*hP*cL^2/(H225*0.000000001)^5/(EXP(hP*cL/(H225*0.000000001*kB*$B$11))-1))/1000000000000</f>
        <v>27.1289760908765</v>
      </c>
      <c r="L225" s="16" t="n">
        <f aca="false">(2*hP*cL^2/(H225*0.000000001)^5/(EXP(hP*cL/(H225*0.000000001*kB*$B$12))-1))/1000000000000</f>
        <v>7.11457726434413</v>
      </c>
    </row>
    <row r="226" customFormat="false" ht="15" hidden="false" customHeight="false" outlineLevel="0" collapsed="false">
      <c r="H226" s="20" t="n">
        <v>760</v>
      </c>
      <c r="I226" s="27" t="n">
        <f aca="false">$B$14+$B$13*SUMPRODUCT($P$6:$P$27,EXP(0-((H226-$O$6:$O$27)/1.2)^2))</f>
        <v>0.02</v>
      </c>
      <c r="J226" s="16" t="n">
        <f aca="false">($B$15*(2*hP*cL^2/(H226*0.000000001)^5/(EXP(hP*cL/(H226*0.000000001*kB*$B$11))-1))*EXP(-I226)+(2*hP*cL^2/(H226*0.000000001)^5/(EXP(hP*cL/(H226*0.000000001*kB*$B$12))-1))*(1-EXP(-I226)))/1000000000000</f>
        <v>26.5984262123927</v>
      </c>
      <c r="K226" s="16" t="n">
        <f aca="false">$B$15*(2*hP*cL^2/(H226*0.000000001)^5/(EXP(hP*cL/(H226*0.000000001*kB*$B$11))-1))/1000000000000</f>
        <v>26.9923000697284</v>
      </c>
      <c r="L226" s="16" t="n">
        <f aca="false">(2*hP*cL^2/(H226*0.000000001)^5/(EXP(hP*cL/(H226*0.000000001*kB*$B$12))-1))/1000000000000</f>
        <v>7.10101382222668</v>
      </c>
    </row>
    <row r="227" customFormat="false" ht="15" hidden="false" customHeight="false" outlineLevel="0" collapsed="false">
      <c r="H227" s="20" t="n">
        <v>762</v>
      </c>
      <c r="I227" s="27" t="n">
        <f aca="false">$B$14+$B$13*SUMPRODUCT($P$6:$P$27,EXP(0-((H227-$O$6:$O$27)/1.2)^2))</f>
        <v>0.02</v>
      </c>
      <c r="J227" s="16" t="n">
        <f aca="false">($B$15*(2*hP*cL^2/(H227*0.000000001)^5/(EXP(hP*cL/(H227*0.000000001*kB*$B$11))-1))*EXP(-I227)+(2*hP*cL^2/(H227*0.000000001)^5/(EXP(hP*cL/(H227*0.000000001*kB*$B$12))-1))*(1-EXP(-I227)))/1000000000000</f>
        <v>26.4647427997144</v>
      </c>
      <c r="K227" s="16" t="n">
        <f aca="false">$B$15*(2*hP*cL^2/(H227*0.000000001)^5/(EXP(hP*cL/(H227*0.000000001*kB*$B$11))-1))/1000000000000</f>
        <v>26.8561927921245</v>
      </c>
      <c r="L227" s="16" t="n">
        <f aca="false">(2*hP*cL^2/(H227*0.000000001)^5/(EXP(hP*cL/(H227*0.000000001*kB*$B$12))-1))/1000000000000</f>
        <v>7.08731576311123</v>
      </c>
    </row>
    <row r="228" customFormat="false" ht="15" hidden="false" customHeight="false" outlineLevel="0" collapsed="false">
      <c r="H228" s="20" t="n">
        <v>764</v>
      </c>
      <c r="I228" s="27" t="n">
        <f aca="false">$B$14+$B$13*SUMPRODUCT($P$6:$P$27,EXP(0-((H228-$O$6:$O$27)/1.2)^2))</f>
        <v>0.02</v>
      </c>
      <c r="J228" s="16" t="n">
        <f aca="false">($B$15*(2*hP*cL^2/(H228*0.000000001)^5/(EXP(hP*cL/(H228*0.000000001*kB*$B$11))-1))*EXP(-I228)+(2*hP*cL^2/(H228*0.000000001)^5/(EXP(hP*cL/(H228*0.000000001*kB*$B$12))-1))*(1-EXP(-I228)))/1000000000000</f>
        <v>26.3316159809031</v>
      </c>
      <c r="K228" s="16" t="n">
        <f aca="false">$B$15*(2*hP*cL^2/(H228*0.000000001)^5/(EXP(hP*cL/(H228*0.000000001*kB*$B$11))-1))/1000000000000</f>
        <v>26.7206560147452</v>
      </c>
      <c r="L228" s="16" t="n">
        <f aca="false">(2*hP*cL^2/(H228*0.000000001)^5/(EXP(hP*cL/(H228*0.000000001*kB*$B$12))-1))/1000000000000</f>
        <v>7.07348590998178</v>
      </c>
    </row>
    <row r="229" customFormat="false" ht="15" hidden="false" customHeight="false" outlineLevel="0" collapsed="false">
      <c r="H229" s="20" t="n">
        <v>766</v>
      </c>
      <c r="I229" s="27" t="n">
        <f aca="false">$B$14+$B$13*SUMPRODUCT($P$6:$P$27,EXP(0-((H229-$O$6:$O$27)/1.2)^2))</f>
        <v>0.02</v>
      </c>
      <c r="J229" s="16" t="n">
        <f aca="false">($B$15*(2*hP*cL^2/(H229*0.000000001)^5/(EXP(hP*cL/(H229*0.000000001*kB*$B$11))-1))*EXP(-I229)+(2*hP*cL^2/(H229*0.000000001)^5/(EXP(hP*cL/(H229*0.000000001*kB*$B$12))-1))*(1-EXP(-I229)))/1000000000000</f>
        <v>26.199047417712</v>
      </c>
      <c r="K229" s="16" t="n">
        <f aca="false">$B$15*(2*hP*cL^2/(H229*0.000000001)^5/(EXP(hP*cL/(H229*0.000000001*kB*$B$11))-1))/1000000000000</f>
        <v>26.5856913765294</v>
      </c>
      <c r="L229" s="16" t="n">
        <f aca="false">(2*hP*cL^2/(H229*0.000000001)^5/(EXP(hP*cL/(H229*0.000000001*kB*$B$12))-1))/1000000000000</f>
        <v>7.05952705394989</v>
      </c>
    </row>
    <row r="230" customFormat="false" ht="15" hidden="false" customHeight="false" outlineLevel="0" collapsed="false">
      <c r="H230" s="20" t="n">
        <v>768</v>
      </c>
      <c r="I230" s="27" t="n">
        <f aca="false">$B$14+$B$13*SUMPRODUCT($P$6:$P$27,EXP(0-((H230-$O$6:$O$27)/1.2)^2))</f>
        <v>0.02</v>
      </c>
      <c r="J230" s="16" t="n">
        <f aca="false">($B$15*(2*hP*cL^2/(H230*0.000000001)^5/(EXP(hP*cL/(H230*0.000000001*kB*$B$11))-1))*EXP(-I230)+(2*hP*cL^2/(H230*0.000000001)^5/(EXP(hP*cL/(H230*0.000000001*kB*$B$12))-1))*(1-EXP(-I230)))/1000000000000</f>
        <v>26.0670386585608</v>
      </c>
      <c r="K230" s="16" t="n">
        <f aca="false">$B$15*(2*hP*cL^2/(H230*0.000000001)^5/(EXP(hP*cL/(H230*0.000000001*kB*$B$11))-1))/1000000000000</f>
        <v>26.4513004014338</v>
      </c>
      <c r="L230" s="16" t="n">
        <f aca="false">(2*hP*cL^2/(H230*0.000000001)^5/(EXP(hP*cL/(H230*0.000000001*kB*$B$12))-1))/1000000000000</f>
        <v>7.04544195438062</v>
      </c>
    </row>
    <row r="231" customFormat="false" ht="15" hidden="false" customHeight="false" outlineLevel="0" collapsed="false">
      <c r="H231" s="20" t="n">
        <v>770</v>
      </c>
      <c r="I231" s="27" t="n">
        <f aca="false">$B$14+$B$13*SUMPRODUCT($P$6:$P$27,EXP(0-((H231-$O$6:$O$27)/1.2)^2))</f>
        <v>0.02</v>
      </c>
      <c r="J231" s="16" t="n">
        <f aca="false">($B$15*(2*hP*cL^2/(H231*0.000000001)^5/(EXP(hP*cL/(H231*0.000000001*kB*$B$11))-1))*EXP(-I231)+(2*hP*cL^2/(H231*0.000000001)^5/(EXP(hP*cL/(H231*0.000000001*kB*$B$12))-1))*(1-EXP(-I231)))/1000000000000</f>
        <v>25.9355911411912</v>
      </c>
      <c r="K231" s="16" t="n">
        <f aca="false">$B$15*(2*hP*cL^2/(H231*0.000000001)^5/(EXP(hP*cL/(H231*0.000000001*kB*$B$11))-1))/1000000000000</f>
        <v>26.3174845011402</v>
      </c>
      <c r="L231" s="16" t="n">
        <f aca="false">(2*hP*cL^2/(H231*0.000000001)^5/(EXP(hP*cL/(H231*0.000000001*kB*$B$12))-1))/1000000000000</f>
        <v>7.03123333902475</v>
      </c>
    </row>
    <row r="232" customFormat="false" ht="15" hidden="false" customHeight="false" outlineLevel="0" collapsed="false">
      <c r="H232" s="20" t="n">
        <v>772</v>
      </c>
      <c r="I232" s="27" t="n">
        <f aca="false">$B$14+$B$13*SUMPRODUCT($P$6:$P$27,EXP(0-((H232-$O$6:$O$27)/1.2)^2))</f>
        <v>0.02</v>
      </c>
      <c r="J232" s="16" t="n">
        <f aca="false">($B$15*(2*hP*cL^2/(H232*0.000000001)^5/(EXP(hP*cL/(H232*0.000000001*kB*$B$11))-1))*EXP(-I232)+(2*hP*cL^2/(H232*0.000000001)^5/(EXP(hP*cL/(H232*0.000000001*kB*$B$12))-1))*(1-EXP(-I232)))/1000000000000</f>
        <v>25.8047061952739</v>
      </c>
      <c r="K232" s="16" t="n">
        <f aca="false">$B$15*(2*hP*cL^2/(H232*0.000000001)^5/(EXP(hP*cL/(H232*0.000000001*kB*$B$11))-1))/1000000000000</f>
        <v>26.1842449777122</v>
      </c>
      <c r="L232" s="16" t="n">
        <f aca="false">(2*hP*cL^2/(H232*0.000000001)^5/(EXP(hP*cL/(H232*0.000000001*kB*$B$12))-1))/1000000000000</f>
        <v>7.01690390415688</v>
      </c>
    </row>
    <row r="233" customFormat="false" ht="15" hidden="false" customHeight="false" outlineLevel="0" collapsed="false">
      <c r="H233" s="20" t="n">
        <v>774</v>
      </c>
      <c r="I233" s="27" t="n">
        <f aca="false">$B$14+$B$13*SUMPRODUCT($P$6:$P$27,EXP(0-((H233-$O$6:$O$27)/1.2)^2))</f>
        <v>0.02</v>
      </c>
      <c r="J233" s="16" t="n">
        <f aca="false">($B$15*(2*hP*cL^2/(H233*0.000000001)^5/(EXP(hP*cL/(H233*0.000000001*kB*$B$11))-1))*EXP(-I233)+(2*hP*cL^2/(H233*0.000000001)^5/(EXP(hP*cL/(H233*0.000000001*kB*$B$12))-1))*(1-EXP(-I233)))/1000000000000</f>
        <v>25.6743850449648</v>
      </c>
      <c r="K233" s="16" t="n">
        <f aca="false">$B$15*(2*hP*cL^2/(H233*0.000000001)^5/(EXP(hP*cL/(H233*0.000000001*kB*$B$11))-1))/1000000000000</f>
        <v>26.0515830261999</v>
      </c>
      <c r="L233" s="16" t="n">
        <f aca="false">(2*hP*cL^2/(H233*0.000000001)^5/(EXP(hP*cL/(H233*0.000000001*kB*$B$12))-1))/1000000000000</f>
        <v>7.00245631471927</v>
      </c>
    </row>
    <row r="234" customFormat="false" ht="15" hidden="false" customHeight="false" outlineLevel="0" collapsed="false">
      <c r="H234" s="20" t="n">
        <v>776</v>
      </c>
      <c r="I234" s="27" t="n">
        <f aca="false">$B$14+$B$13*SUMPRODUCT($P$6:$P$27,EXP(0-((H234-$O$6:$O$27)/1.2)^2))</f>
        <v>0.02</v>
      </c>
      <c r="J234" s="16" t="n">
        <f aca="false">($B$15*(2*hP*cL^2/(H234*0.000000001)^5/(EXP(hP*cL/(H234*0.000000001*kB*$B$11))-1))*EXP(-I234)+(2*hP*cL^2/(H234*0.000000001)^5/(EXP(hP*cL/(H234*0.000000001*kB*$B$12))-1))*(1-EXP(-I234)))/1000000000000</f>
        <v>25.544628811414</v>
      </c>
      <c r="K234" s="16" t="n">
        <f aca="false">$B$15*(2*hP*cL^2/(H234*0.000000001)^5/(EXP(hP*cL/(H234*0.000000001*kB*$B$11))-1))/1000000000000</f>
        <v>25.9194997371965</v>
      </c>
      <c r="L234" s="16" t="n">
        <f aca="false">(2*hP*cL^2/(H234*0.000000001)^5/(EXP(hP*cL/(H234*0.000000001*kB*$B$12))-1))/1000000000000</f>
        <v>6.98789320447125</v>
      </c>
    </row>
    <row r="235" customFormat="false" ht="15" hidden="false" customHeight="false" outlineLevel="0" collapsed="false">
      <c r="H235" s="20" t="n">
        <v>778</v>
      </c>
      <c r="I235" s="27" t="n">
        <f aca="false">$B$14+$B$13*SUMPRODUCT($P$6:$P$27,EXP(0-((H235-$O$6:$O$27)/1.2)^2))</f>
        <v>0.02</v>
      </c>
      <c r="J235" s="16" t="n">
        <f aca="false">($B$15*(2*hP*cL^2/(H235*0.000000001)^5/(EXP(hP*cL/(H235*0.000000001*kB*$B$11))-1))*EXP(-I235)+(2*hP*cL^2/(H235*0.000000001)^5/(EXP(hP*cL/(H235*0.000000001*kB*$B$12))-1))*(1-EXP(-I235)))/1000000000000</f>
        <v>25.4154385152256</v>
      </c>
      <c r="K235" s="16" t="n">
        <f aca="false">$B$15*(2*hP*cL^2/(H235*0.000000001)^5/(EXP(hP*cL/(H235*0.000000001*kB*$B$11))-1))/1000000000000</f>
        <v>25.7879960993451</v>
      </c>
      <c r="L235" s="16" t="n">
        <f aca="false">(2*hP*cL^2/(H235*0.000000001)^5/(EXP(hP*cL/(H235*0.000000001*kB*$B$12))-1))/1000000000000</f>
        <v>6.9732171761437</v>
      </c>
    </row>
    <row r="236" customFormat="false" ht="15" hidden="false" customHeight="false" outlineLevel="0" collapsed="false">
      <c r="H236" s="20" t="n">
        <v>780</v>
      </c>
      <c r="I236" s="27" t="n">
        <f aca="false">$B$14+$B$13*SUMPRODUCT($P$6:$P$27,EXP(0-((H236-$O$6:$O$27)/1.2)^2))</f>
        <v>0.02</v>
      </c>
      <c r="J236" s="16" t="n">
        <f aca="false">($B$15*(2*hP*cL^2/(H236*0.000000001)^5/(EXP(hP*cL/(H236*0.000000001*kB*$B$11))-1))*EXP(-I236)+(2*hP*cL^2/(H236*0.000000001)^5/(EXP(hP*cL/(H236*0.000000001*kB*$B$12))-1))*(1-EXP(-I236)))/1000000000000</f>
        <v>25.2868150788715</v>
      </c>
      <c r="K236" s="16" t="n">
        <f aca="false">$B$15*(2*hP*cL^2/(H236*0.000000001)^5/(EXP(hP*cL/(H236*0.000000001*kB*$B$11))-1))/1000000000000</f>
        <v>25.6570730017978</v>
      </c>
      <c r="L236" s="16" t="n">
        <f aca="false">(2*hP*cL^2/(H236*0.000000001)^5/(EXP(hP*cL/(H236*0.000000001*kB*$B$12))-1))/1000000000000</f>
        <v>6.95843080159866</v>
      </c>
    </row>
    <row r="237" customFormat="false" ht="15" hidden="false" customHeight="false" outlineLevel="0" collapsed="false">
      <c r="H237" s="20" t="n">
        <v>782</v>
      </c>
      <c r="I237" s="27" t="n">
        <f aca="false">$B$14+$B$13*SUMPRODUCT($P$6:$P$27,EXP(0-((H237-$O$6:$O$27)/1.2)^2))</f>
        <v>0.02</v>
      </c>
      <c r="J237" s="16" t="n">
        <f aca="false">($B$15*(2*hP*cL^2/(H237*0.000000001)^5/(EXP(hP*cL/(H237*0.000000001*kB*$B$11))-1))*EXP(-I237)+(2*hP*cL^2/(H237*0.000000001)^5/(EXP(hP*cL/(H237*0.000000001*kB*$B$12))-1))*(1-EXP(-I237)))/1000000000000</f>
        <v>25.1587593290584</v>
      </c>
      <c r="K237" s="16" t="n">
        <f aca="false">$B$15*(2*hP*cL^2/(H237*0.000000001)^5/(EXP(hP*cL/(H237*0.000000001*kB*$B$11))-1))/1000000000000</f>
        <v>25.5267312366269</v>
      </c>
      <c r="L237" s="16" t="n">
        <f aca="false">(2*hP*cL^2/(H237*0.000000001)^5/(EXP(hP*cL/(H237*0.000000001*kB*$B$12))-1))/1000000000000</f>
        <v>6.94353662199368</v>
      </c>
    </row>
    <row r="238" customFormat="false" ht="15" hidden="false" customHeight="false" outlineLevel="0" collapsed="false">
      <c r="H238" s="20" t="n">
        <v>784</v>
      </c>
      <c r="I238" s="27" t="n">
        <f aca="false">$B$14+$B$13*SUMPRODUCT($P$6:$P$27,EXP(0-((H238-$O$6:$O$27)/1.2)^2))</f>
        <v>0.02</v>
      </c>
      <c r="J238" s="16" t="n">
        <f aca="false">($B$15*(2*hP*cL^2/(H238*0.000000001)^5/(EXP(hP*cL/(H238*0.000000001*kB*$B$11))-1))*EXP(-I238)+(2*hP*cL^2/(H238*0.000000001)^5/(EXP(hP*cL/(H238*0.000000001*kB*$B$12))-1))*(1-EXP(-I238)))/1000000000000</f>
        <v>25.0312719990493</v>
      </c>
      <c r="K238" s="16" t="n">
        <f aca="false">$B$15*(2*hP*cL^2/(H238*0.000000001)^5/(EXP(hP*cL/(H238*0.000000001*kB*$B$11))-1))/1000000000000</f>
        <v>25.3969715011906</v>
      </c>
      <c r="L238" s="16" t="n">
        <f aca="false">(2*hP*cL^2/(H238*0.000000001)^5/(EXP(hP*cL/(H238*0.000000001*kB*$B$12))-1))/1000000000000</f>
        <v>6.92853714795061</v>
      </c>
    </row>
    <row r="239" customFormat="false" ht="15" hidden="false" customHeight="false" outlineLevel="0" collapsed="false">
      <c r="H239" s="20" t="n">
        <v>786</v>
      </c>
      <c r="I239" s="27" t="n">
        <f aca="false">$B$14+$B$13*SUMPRODUCT($P$6:$P$27,EXP(0-((H239-$O$6:$O$27)/1.2)^2))</f>
        <v>0.02</v>
      </c>
      <c r="J239" s="16" t="n">
        <f aca="false">($B$15*(2*hP*cL^2/(H239*0.000000001)^5/(EXP(hP*cL/(H239*0.000000001*kB*$B$11))-1))*EXP(-I239)+(2*hP*cL^2/(H239*0.000000001)^5/(EXP(hP*cL/(H239*0.000000001*kB*$B$12))-1))*(1-EXP(-I239)))/1000000000000</f>
        <v>24.9043537309402</v>
      </c>
      <c r="K239" s="16" t="n">
        <f aca="false">$B$15*(2*hP*cL^2/(H239*0.000000001)^5/(EXP(hP*cL/(H239*0.000000001*kB*$B$11))-1))/1000000000000</f>
        <v>25.2677944004513</v>
      </c>
      <c r="L239" s="16" t="n">
        <f aca="false">(2*hP*cL^2/(H239*0.000000001)^5/(EXP(hP*cL/(H239*0.000000001*kB*$B$12))-1))/1000000000000</f>
        <v>6.91343485972887</v>
      </c>
    </row>
    <row r="240" customFormat="false" ht="15" hidden="false" customHeight="false" outlineLevel="0" collapsed="false">
      <c r="H240" s="20" t="n">
        <v>788</v>
      </c>
      <c r="I240" s="27" t="n">
        <f aca="false">$B$14+$B$13*SUMPRODUCT($P$6:$P$27,EXP(0-((H240-$O$6:$O$27)/1.2)^2))</f>
        <v>0.02</v>
      </c>
      <c r="J240" s="16" t="n">
        <f aca="false">($B$15*(2*hP*cL^2/(H240*0.000000001)^5/(EXP(hP*cL/(H240*0.000000001*kB*$B$11))-1))*EXP(-I240)+(2*hP*cL^2/(H240*0.000000001)^5/(EXP(hP*cL/(H240*0.000000001*kB*$B$12))-1))*(1-EXP(-I240)))/1000000000000</f>
        <v>24.7780050778926</v>
      </c>
      <c r="K240" s="16" t="n">
        <f aca="false">$B$15*(2*hP*cL^2/(H240*0.000000001)^5/(EXP(hP*cL/(H240*0.000000001*kB*$B$11))-1))/1000000000000</f>
        <v>25.1392004492506</v>
      </c>
      <c r="L240" s="16" t="n">
        <f aca="false">(2*hP*cL^2/(H240*0.000000001)^5/(EXP(hP*cL/(H240*0.000000001*kB*$B$12))-1))/1000000000000</f>
        <v>6.89823220740274</v>
      </c>
    </row>
    <row r="241" customFormat="false" ht="15" hidden="false" customHeight="false" outlineLevel="0" collapsed="false">
      <c r="H241" s="20" t="n">
        <v>790</v>
      </c>
      <c r="I241" s="27" t="n">
        <f aca="false">$B$14+$B$13*SUMPRODUCT($P$6:$P$27,EXP(0-((H241-$O$6:$O$27)/1.2)^2))</f>
        <v>0.02</v>
      </c>
      <c r="J241" s="16" t="n">
        <f aca="false">($B$15*(2*hP*cL^2/(H241*0.000000001)^5/(EXP(hP*cL/(H241*0.000000001*kB*$B$11))-1))*EXP(-I241)+(2*hP*cL^2/(H241*0.000000001)^5/(EXP(hP*cL/(H241*0.000000001*kB*$B$12))-1))*(1-EXP(-I241)))/1000000000000</f>
        <v>24.6522265063232</v>
      </c>
      <c r="K241" s="16" t="n">
        <f aca="false">$B$15*(2*hP*cL^2/(H241*0.000000001)^5/(EXP(hP*cL/(H241*0.000000001*kB*$B$11))-1))/1000000000000</f>
        <v>25.0111900745384</v>
      </c>
      <c r="L241" s="16" t="n">
        <f aca="false">(2*hP*cL^2/(H241*0.000000001)^5/(EXP(hP*cL/(H241*0.000000001*kB*$B$12))-1))/1000000000000</f>
        <v>6.88293161104259</v>
      </c>
    </row>
    <row r="242" customFormat="false" ht="15" hidden="false" customHeight="false" outlineLevel="0" collapsed="false">
      <c r="H242" s="20" t="n">
        <v>792</v>
      </c>
      <c r="I242" s="27" t="n">
        <f aca="false">$B$14+$B$13*SUMPRODUCT($P$6:$P$27,EXP(0-((H242-$O$6:$O$27)/1.2)^2))</f>
        <v>0.02</v>
      </c>
      <c r="J242" s="16" t="n">
        <f aca="false">($B$15*(2*hP*cL^2/(H242*0.000000001)^5/(EXP(hP*cL/(H242*0.000000001*kB*$B$11))-1))*EXP(-I242)+(2*hP*cL^2/(H242*0.000000001)^5/(EXP(hP*cL/(H242*0.000000001*kB*$B$12))-1))*(1-EXP(-I242)))/1000000000000</f>
        <v>24.5270183980495</v>
      </c>
      <c r="K242" s="16" t="n">
        <f aca="false">$B$15*(2*hP*cL^2/(H242*0.000000001)^5/(EXP(hP*cL/(H242*0.000000001*kB*$B$11))-1))/1000000000000</f>
        <v>24.8837636175596</v>
      </c>
      <c r="L242" s="16" t="n">
        <f aca="false">(2*hP*cL^2/(H242*0.000000001)^5/(EXP(hP*cL/(H242*0.000000001*kB*$B$12))-1))/1000000000000</f>
        <v>6.8675354608998</v>
      </c>
    </row>
    <row r="243" customFormat="false" ht="15" hidden="false" customHeight="false" outlineLevel="0" collapsed="false">
      <c r="H243" s="20" t="n">
        <v>794</v>
      </c>
      <c r="I243" s="27" t="n">
        <f aca="false">$B$14+$B$13*SUMPRODUCT($P$6:$P$27,EXP(0-((H243-$O$6:$O$27)/1.2)^2))</f>
        <v>0.02</v>
      </c>
      <c r="J243" s="16" t="n">
        <f aca="false">($B$15*(2*hP*cL^2/(H243*0.000000001)^5/(EXP(hP*cL/(H243*0.000000001*kB*$B$11))-1))*EXP(-I243)+(2*hP*cL^2/(H243*0.000000001)^5/(EXP(hP*cL/(H243*0.000000001*kB*$B$12))-1))*(1-EXP(-I243)))/1000000000000</f>
        <v>24.4023810523955</v>
      </c>
      <c r="K243" s="16" t="n">
        <f aca="false">$B$15*(2*hP*cL^2/(H243*0.000000001)^5/(EXP(hP*cL/(H243*0.000000001*kB*$B$11))-1))/1000000000000</f>
        <v>24.7569213359968</v>
      </c>
      <c r="L243" s="16" t="n">
        <f aca="false">(2*hP*cL^2/(H243*0.000000001)^5/(EXP(hP*cL/(H243*0.000000001*kB*$B$12))-1))/1000000000000</f>
        <v>6.85204611759522</v>
      </c>
    </row>
    <row r="244" customFormat="false" ht="15" hidden="false" customHeight="false" outlineLevel="0" collapsed="false">
      <c r="H244" s="20" t="n">
        <v>796</v>
      </c>
      <c r="I244" s="27" t="n">
        <f aca="false">$B$14+$B$13*SUMPRODUCT($P$6:$P$27,EXP(0-((H244-$O$6:$O$27)/1.2)^2))</f>
        <v>0.02</v>
      </c>
      <c r="J244" s="16" t="n">
        <f aca="false">($B$15*(2*hP*cL^2/(H244*0.000000001)^5/(EXP(hP*cL/(H244*0.000000001*kB*$B$11))-1))*EXP(-I244)+(2*hP*cL^2/(H244*0.000000001)^5/(EXP(hP*cL/(H244*0.000000001*kB*$B$12))-1))*(1-EXP(-I244)))/1000000000000</f>
        <v>24.278314688254</v>
      </c>
      <c r="K244" s="16" t="n">
        <f aca="false">$B$15*(2*hP*cL^2/(H244*0.000000001)^5/(EXP(hP*cL/(H244*0.000000001*kB*$B$11))-1))/1000000000000</f>
        <v>24.6306634060721</v>
      </c>
      <c r="L244" s="16" t="n">
        <f aca="false">(2*hP*cL^2/(H244*0.000000001)^5/(EXP(hP*cL/(H244*0.000000001*kB*$B$12))-1))/1000000000000</f>
        <v>6.83646591231101</v>
      </c>
    </row>
    <row r="245" customFormat="false" ht="15" hidden="false" customHeight="false" outlineLevel="0" collapsed="false">
      <c r="H245" s="20" t="n">
        <v>798</v>
      </c>
      <c r="I245" s="27" t="n">
        <f aca="false">$B$14+$B$13*SUMPRODUCT($P$6:$P$27,EXP(0-((H245-$O$6:$O$27)/1.2)^2))</f>
        <v>0.02</v>
      </c>
      <c r="J245" s="16" t="n">
        <f aca="false">($B$15*(2*hP*cL^2/(H245*0.000000001)^5/(EXP(hP*cL/(H245*0.000000001*kB*$B$11))-1))*EXP(-I245)+(2*hP*cL^2/(H245*0.000000001)^5/(EXP(hP*cL/(H245*0.000000001*kB*$B$12))-1))*(1-EXP(-I245)))/1000000000000</f>
        <v>24.1548194461103</v>
      </c>
      <c r="K245" s="16" t="n">
        <f aca="false">$B$15*(2*hP*cL^2/(H245*0.000000001)^5/(EXP(hP*cL/(H245*0.000000001*kB*$B$11))-1))/1000000000000</f>
        <v>24.5049899246063</v>
      </c>
      <c r="L245" s="16" t="n">
        <f aca="false">(2*hP*cL^2/(H245*0.000000001)^5/(EXP(hP*cL/(H245*0.000000001*kB*$B$12))-1))/1000000000000</f>
        <v>6.82079714698548</v>
      </c>
    </row>
    <row r="246" customFormat="false" ht="15" hidden="false" customHeight="false" outlineLevel="0" collapsed="false">
      <c r="H246" s="20" t="n">
        <v>800</v>
      </c>
      <c r="I246" s="27" t="n">
        <f aca="false">$B$14+$B$13*SUMPRODUCT($P$6:$P$27,EXP(0-((H246-$O$6:$O$27)/1.2)^2))</f>
        <v>0.02</v>
      </c>
      <c r="J246" s="16" t="n">
        <f aca="false">($B$15*(2*hP*cL^2/(H246*0.000000001)^5/(EXP(hP*cL/(H246*0.000000001*kB*$B$11))-1))*EXP(-I246)+(2*hP*cL^2/(H246*0.000000001)^5/(EXP(hP*cL/(H246*0.000000001*kB*$B$12))-1))*(1-EXP(-I246)))/1000000000000</f>
        <v>24.031895390024</v>
      </c>
      <c r="K246" s="16" t="n">
        <f aca="false">$B$15*(2*hP*cL^2/(H246*0.000000001)^5/(EXP(hP*cL/(H246*0.000000001*kB*$B$11))-1))/1000000000000</f>
        <v>24.3799009110377</v>
      </c>
      <c r="L246" s="16" t="n">
        <f aca="false">(2*hP*cL^2/(H246*0.000000001)^5/(EXP(hP*cL/(H246*0.000000001*kB*$B$12))-1))/1000000000000</f>
        <v>6.80504209451111</v>
      </c>
    </row>
    <row r="247" customFormat="false" ht="15" hidden="false" customHeight="false" outlineLevel="0" collapsed="false">
      <c r="H247" s="20" t="n">
        <v>802</v>
      </c>
      <c r="I247" s="27" t="n">
        <f aca="false">$B$14+$B$13*SUMPRODUCT($P$6:$P$27,EXP(0-((H247-$O$6:$O$27)/1.2)^2))</f>
        <v>0.02</v>
      </c>
      <c r="J247" s="16" t="n">
        <f aca="false">($B$15*(2*hP*cL^2/(H247*0.000000001)^5/(EXP(hP*cL/(H247*0.000000001*kB*$B$11))-1))*EXP(-I247)+(2*hP*cL^2/(H247*0.000000001)^5/(EXP(hP*cL/(H247*0.000000001*kB*$B$12))-1))*(1-EXP(-I247)))/1000000000000</f>
        <v>23.9095425095737</v>
      </c>
      <c r="K247" s="16" t="n">
        <f aca="false">$B$15*(2*hP*cL^2/(H247*0.000000001)^5/(EXP(hP*cL/(H247*0.000000001*kB*$B$11))-1))/1000000000000</f>
        <v>24.2553963094016</v>
      </c>
      <c r="L247" s="16" t="n">
        <f aca="false">(2*hP*cL^2/(H247*0.000000001)^5/(EXP(hP*cL/(H247*0.000000001*kB*$B$12))-1))/1000000000000</f>
        <v>6.78920299893516</v>
      </c>
    </row>
    <row r="248" customFormat="false" ht="15" hidden="false" customHeight="false" outlineLevel="0" collapsed="false">
      <c r="H248" s="20" t="n">
        <v>804</v>
      </c>
      <c r="I248" s="27" t="n">
        <f aca="false">$B$14+$B$13*SUMPRODUCT($P$6:$P$27,EXP(0-((H248-$O$6:$O$27)/1.2)^2))</f>
        <v>0.02</v>
      </c>
      <c r="J248" s="16" t="n">
        <f aca="false">($B$15*(2*hP*cL^2/(H248*0.000000001)^5/(EXP(hP*cL/(H248*0.000000001*kB*$B$11))-1))*EXP(-I248)+(2*hP*cL^2/(H248*0.000000001)^5/(EXP(hP*cL/(H248*0.000000001*kB*$B$12))-1))*(1-EXP(-I248)))/1000000000000</f>
        <v>23.787760721761</v>
      </c>
      <c r="K248" s="16" t="n">
        <f aca="false">$B$15*(2*hP*cL^2/(H248*0.000000001)^5/(EXP(hP*cL/(H248*0.000000001*kB*$B$11))-1))/1000000000000</f>
        <v>24.1314759902688</v>
      </c>
      <c r="L248" s="16" t="n">
        <f aca="false">(2*hP*cL^2/(H248*0.000000001)^5/(EXP(hP*cL/(H248*0.000000001*kB*$B$12))-1))/1000000000000</f>
        <v>6.77328207566309</v>
      </c>
    </row>
    <row r="249" customFormat="false" ht="15" hidden="false" customHeight="false" outlineLevel="0" collapsed="false">
      <c r="H249" s="20" t="n">
        <v>806</v>
      </c>
      <c r="I249" s="27" t="n">
        <f aca="false">$B$14+$B$13*SUMPRODUCT($P$6:$P$27,EXP(0-((H249-$O$6:$O$27)/1.2)^2))</f>
        <v>0.02</v>
      </c>
      <c r="J249" s="16" t="n">
        <f aca="false">($B$15*(2*hP*cL^2/(H249*0.000000001)^5/(EXP(hP*cL/(H249*0.000000001*kB*$B$11))-1))*EXP(-I249)+(2*hP*cL^2/(H249*0.000000001)^5/(EXP(hP*cL/(H249*0.000000001*kB*$B$12))-1))*(1-EXP(-I249)))/1000000000000</f>
        <v>23.6665498728785</v>
      </c>
      <c r="K249" s="16" t="n">
        <f aca="false">$B$15*(2*hP*cL^2/(H249*0.000000001)^5/(EXP(hP*cL/(H249*0.000000001*kB*$B$11))-1))/1000000000000</f>
        <v>24.008139752647</v>
      </c>
      <c r="L249" s="16" t="n">
        <f aca="false">(2*hP*cL^2/(H249*0.000000001)^5/(EXP(hP*cL/(H249*0.000000001*kB*$B$12))-1))/1000000000000</f>
        <v>6.75728151166431</v>
      </c>
    </row>
    <row r="250" customFormat="false" ht="15" hidden="false" customHeight="false" outlineLevel="0" collapsed="false">
      <c r="H250" s="20" t="n">
        <v>808</v>
      </c>
      <c r="I250" s="27" t="n">
        <f aca="false">$B$14+$B$13*SUMPRODUCT($P$6:$P$27,EXP(0-((H250-$O$6:$O$27)/1.2)^2))</f>
        <v>0.02</v>
      </c>
      <c r="J250" s="16" t="n">
        <f aca="false">($B$15*(2*hP*cL^2/(H250*0.000000001)^5/(EXP(hP*cL/(H250*0.000000001*kB*$B$11))-1))*EXP(-I250)+(2*hP*cL^2/(H250*0.000000001)^5/(EXP(hP*cL/(H250*0.000000001*kB*$B$12))-1))*(1-EXP(-I250)))/1000000000000</f>
        <v>23.5459097403392</v>
      </c>
      <c r="K250" s="16" t="n">
        <f aca="false">$B$15*(2*hP*cL^2/(H250*0.000000001)^5/(EXP(hP*cL/(H250*0.000000001*kB*$B$11))-1))/1000000000000</f>
        <v>23.8853873258433</v>
      </c>
      <c r="L250" s="16" t="n">
        <f aca="false">(2*hP*cL^2/(H250*0.000000001)^5/(EXP(hP*cL/(H250*0.000000001*kB*$B$12))-1))/1000000000000</f>
        <v>6.74120346568039</v>
      </c>
    </row>
    <row r="251" customFormat="false" ht="15" hidden="false" customHeight="false" outlineLevel="0" collapsed="false">
      <c r="H251" s="20" t="n">
        <v>810</v>
      </c>
      <c r="I251" s="27" t="n">
        <f aca="false">$B$14+$B$13*SUMPRODUCT($P$6:$P$27,EXP(0-((H251-$O$6:$O$27)/1.2)^2))</f>
        <v>0.02</v>
      </c>
      <c r="J251" s="16" t="n">
        <f aca="false">($B$15*(2*hP*cL^2/(H251*0.000000001)^5/(EXP(hP*cL/(H251*0.000000001*kB*$B$11))-1))*EXP(-I251)+(2*hP*cL^2/(H251*0.000000001)^5/(EXP(hP*cL/(H251*0.000000001*kB*$B$12))-1))*(1-EXP(-I251)))/1000000000000</f>
        <v>23.42584003447</v>
      </c>
      <c r="K251" s="16" t="n">
        <f aca="false">$B$15*(2*hP*cL^2/(H251*0.000000001)^5/(EXP(hP*cL/(H251*0.000000001*kB*$B$11))-1))/1000000000000</f>
        <v>23.7632183712893</v>
      </c>
      <c r="L251" s="16" t="n">
        <f aca="false">(2*hP*cL^2/(H251*0.000000001)^5/(EXP(hP*cL/(H251*0.000000001*kB*$B$12))-1))/1000000000000</f>
        <v>6.72505006843525</v>
      </c>
    </row>
    <row r="252" customFormat="false" ht="15" hidden="false" customHeight="false" outlineLevel="0" collapsed="false">
      <c r="H252" s="20" t="n">
        <v>812</v>
      </c>
      <c r="I252" s="27" t="n">
        <f aca="false">$B$14+$B$13*SUMPRODUCT($P$6:$P$27,EXP(0-((H252-$O$6:$O$27)/1.2)^2))</f>
        <v>0.02</v>
      </c>
      <c r="J252" s="16" t="n">
        <f aca="false">($B$15*(2*hP*cL^2/(H252*0.000000001)^5/(EXP(hP*cL/(H252*0.000000001*kB*$B$11))-1))*EXP(-I252)+(2*hP*cL^2/(H252*0.000000001)^5/(EXP(hP*cL/(H252*0.000000001*kB*$B$12))-1))*(1-EXP(-I252)))/1000000000000</f>
        <v>23.3063404002688</v>
      </c>
      <c r="K252" s="16" t="n">
        <f aca="false">$B$15*(2*hP*cL^2/(H252*0.000000001)^5/(EXP(hP*cL/(H252*0.000000001*kB*$B$11))-1))/1000000000000</f>
        <v>23.6416324843295</v>
      </c>
      <c r="L252" s="16" t="n">
        <f aca="false">(2*hP*cL^2/(H252*0.000000001)^5/(EXP(hP*cL/(H252*0.000000001*kB*$B$12))-1))/1000000000000</f>
        <v>6.70882342284754</v>
      </c>
    </row>
    <row r="253" customFormat="false" ht="15" hidden="false" customHeight="false" outlineLevel="0" collapsed="false">
      <c r="H253" s="20" t="n">
        <v>814</v>
      </c>
      <c r="I253" s="27" t="n">
        <f aca="false">$B$14+$B$13*SUMPRODUCT($P$6:$P$27,EXP(0-((H253-$O$6:$O$27)/1.2)^2))</f>
        <v>0.02</v>
      </c>
      <c r="J253" s="16" t="n">
        <f aca="false">($B$15*(2*hP*cL^2/(H253*0.000000001)^5/(EXP(hP*cL/(H253*0.000000001*kB*$B$11))-1))*EXP(-I253)+(2*hP*cL^2/(H253*0.000000001)^5/(EXP(hP*cL/(H253*0.000000001*kB*$B$12))-1))*(1-EXP(-I253)))/1000000000000</f>
        <v>23.1874104191266</v>
      </c>
      <c r="K253" s="16" t="n">
        <f aca="false">$B$15*(2*hP*cL^2/(H253*0.000000001)^5/(EXP(hP*cL/(H253*0.000000001*kB*$B$11))-1))/1000000000000</f>
        <v>23.5206291959742</v>
      </c>
      <c r="L253" s="16" t="n">
        <f aca="false">(2*hP*cL^2/(H253*0.000000001)^5/(EXP(hP*cL/(H253*0.000000001*kB*$B$12))-1))/1000000000000</f>
        <v>6.69252560424479</v>
      </c>
    </row>
    <row r="254" customFormat="false" ht="15" hidden="false" customHeight="false" outlineLevel="0" collapsed="false">
      <c r="H254" s="20" t="n">
        <v>816</v>
      </c>
      <c r="I254" s="27" t="n">
        <f aca="false">$B$14+$B$13*SUMPRODUCT($P$6:$P$27,EXP(0-((H254-$O$6:$O$27)/1.2)^2))</f>
        <v>0.02</v>
      </c>
      <c r="J254" s="16" t="n">
        <f aca="false">($B$15*(2*hP*cL^2/(H254*0.000000001)^5/(EXP(hP*cL/(H254*0.000000001*kB*$B$11))-1))*EXP(-I254)+(2*hP*cL^2/(H254*0.000000001)^5/(EXP(hP*cL/(H254*0.000000001*kB*$B$12))-1))*(1-EXP(-I254)))/1000000000000</f>
        <v>23.0690496105145</v>
      </c>
      <c r="K254" s="16" t="n">
        <f aca="false">$B$15*(2*hP*cL^2/(H254*0.000000001)^5/(EXP(hP*cL/(H254*0.000000001*kB*$B$11))-1))/1000000000000</f>
        <v>23.4002079746157</v>
      </c>
      <c r="L254" s="16" t="n">
        <f aca="false">(2*hP*cL^2/(H254*0.000000001)^5/(EXP(hP*cL/(H254*0.000000001*kB*$B$12))-1))/1000000000000</f>
        <v>6.67615866057931</v>
      </c>
    </row>
    <row r="255" customFormat="false" ht="15" hidden="false" customHeight="false" outlineLevel="0" collapsed="false">
      <c r="H255" s="20" t="n">
        <v>818</v>
      </c>
      <c r="I255" s="27" t="n">
        <f aca="false">$B$14+$B$13*SUMPRODUCT($P$6:$P$27,EXP(0-((H255-$O$6:$O$27)/1.2)^2))</f>
        <v>0.02</v>
      </c>
      <c r="J255" s="16" t="n">
        <f aca="false">($B$15*(2*hP*cL^2/(H255*0.000000001)^5/(EXP(hP*cL/(H255*0.000000001*kB*$B$11))-1))*EXP(-I255)+(2*hP*cL^2/(H255*0.000000001)^5/(EXP(hP*cL/(H255*0.000000001*kB*$B$12))-1))*(1-EXP(-I255)))/1000000000000</f>
        <v>22.9512574336368</v>
      </c>
      <c r="K255" s="16" t="n">
        <f aca="false">$B$15*(2*hP*cL^2/(H255*0.000000001)^5/(EXP(hP*cL/(H255*0.000000001*kB*$B$11))-1))/1000000000000</f>
        <v>23.2803682277107</v>
      </c>
      <c r="L255" s="16" t="n">
        <f aca="false">(2*hP*cL^2/(H255*0.000000001)^5/(EXP(hP*cL/(H255*0.000000001*kB*$B$12))-1))/1000000000000</f>
        <v>6.65972461264572</v>
      </c>
    </row>
    <row r="256" customFormat="false" ht="15" hidden="false" customHeight="false" outlineLevel="0" collapsed="false">
      <c r="H256" s="20" t="n">
        <v>820</v>
      </c>
      <c r="I256" s="27" t="n">
        <f aca="false">$B$14+$B$13*SUMPRODUCT($P$6:$P$27,EXP(0-((H256-$O$6:$O$27)/1.2)^2))</f>
        <v>0.02</v>
      </c>
      <c r="J256" s="16" t="n">
        <f aca="false">($B$15*(2*hP*cL^2/(H256*0.000000001)^5/(EXP(hP*cL/(H256*0.000000001*kB*$B$11))-1))*EXP(-I256)+(2*hP*cL^2/(H256*0.000000001)^5/(EXP(hP*cL/(H256*0.000000001*kB*$B$12))-1))*(1-EXP(-I256)))/1000000000000</f>
        <v>22.8340332890506</v>
      </c>
      <c r="K256" s="16" t="n">
        <f aca="false">$B$15*(2*hP*cL^2/(H256*0.000000001)^5/(EXP(hP*cL/(H256*0.000000001*kB*$B$11))-1))/1000000000000</f>
        <v>23.1611093034283</v>
      </c>
      <c r="L256" s="16" t="n">
        <f aca="false">(2*hP*cL^2/(H256*0.000000001)^5/(EXP(hP*cL/(H256*0.000000001*kB*$B$12))-1))/1000000000000</f>
        <v>6.64322545429989</v>
      </c>
    </row>
    <row r="257" customFormat="false" ht="15" hidden="false" customHeight="false" outlineLevel="0" collapsed="false">
      <c r="H257" s="20" t="n">
        <v>822</v>
      </c>
      <c r="I257" s="27" t="n">
        <f aca="false">$B$14+$B$13*SUMPRODUCT($P$6:$P$27,EXP(0-((H257-$O$6:$O$27)/1.2)^2))</f>
        <v>0.02</v>
      </c>
      <c r="J257" s="16" t="n">
        <f aca="false">($B$15*(2*hP*cL^2/(H257*0.000000001)^5/(EXP(hP*cL/(H257*0.000000001*kB*$B$11))-1))*EXP(-I257)+(2*hP*cL^2/(H257*0.000000001)^5/(EXP(hP*cL/(H257*0.000000001*kB*$B$12))-1))*(1-EXP(-I257)))/1000000000000</f>
        <v>22.717376520252</v>
      </c>
      <c r="K257" s="16" t="n">
        <f aca="false">$B$15*(2*hP*cL^2/(H257*0.000000001)^5/(EXP(hP*cL/(H257*0.000000001*kB*$B$11))-1))/1000000000000</f>
        <v>23.0424304922634</v>
      </c>
      <c r="L257" s="16" t="n">
        <f aca="false">(2*hP*cL^2/(H257*0.000000001)^5/(EXP(hP*cL/(H257*0.000000001*kB*$B$12))-1))/1000000000000</f>
        <v>6.62666315267926</v>
      </c>
    </row>
    <row r="258" customFormat="false" ht="15" hidden="false" customHeight="false" outlineLevel="0" collapsed="false">
      <c r="H258" s="20" t="n">
        <v>824</v>
      </c>
      <c r="I258" s="27" t="n">
        <f aca="false">$B$14+$B$13*SUMPRODUCT($P$6:$P$27,EXP(0-((H258-$O$6:$O$27)/1.2)^2))</f>
        <v>0.02</v>
      </c>
      <c r="J258" s="16" t="n">
        <f aca="false">($B$15*(2*hP*cL^2/(H258*0.000000001)^5/(EXP(hP*cL/(H258*0.000000001*kB*$B$11))-1))*EXP(-I258)+(2*hP*cL^2/(H258*0.000000001)^5/(EXP(hP*cL/(H258*0.000000001*kB*$B$12))-1))*(1-EXP(-I258)))/1000000000000</f>
        <v>22.6012864152305</v>
      </c>
      <c r="K258" s="16" t="n">
        <f aca="false">$B$15*(2*hP*cL^2/(H258*0.000000001)^5/(EXP(hP*cL/(H258*0.000000001*kB*$B$11))-1))/1000000000000</f>
        <v>22.9243310286185</v>
      </c>
      <c r="L258" s="16" t="n">
        <f aca="false">(2*hP*cL^2/(H258*0.000000001)^5/(EXP(hP*cL/(H258*0.000000001*kB*$B$12))-1))/1000000000000</f>
        <v>6.61003964842439</v>
      </c>
    </row>
    <row r="259" customFormat="false" ht="15" hidden="false" customHeight="false" outlineLevel="0" collapsed="false">
      <c r="H259" s="20" t="n">
        <v>826</v>
      </c>
      <c r="I259" s="27" t="n">
        <f aca="false">$B$14+$B$13*SUMPRODUCT($P$6:$P$27,EXP(0-((H259-$O$6:$O$27)/1.2)^2))</f>
        <v>0.02</v>
      </c>
      <c r="J259" s="16" t="n">
        <f aca="false">($B$15*(2*hP*cL^2/(H259*0.000000001)^5/(EXP(hP*cL/(H259*0.000000001*kB*$B$11))-1))*EXP(-I259)+(2*hP*cL^2/(H259*0.000000001)^5/(EXP(hP*cL/(H259*0.000000001*kB*$B$12))-1))*(1-EXP(-I259)))/1000000000000</f>
        <v>22.4857622079914</v>
      </c>
      <c r="K259" s="16" t="n">
        <f aca="false">$B$15*(2*hP*cL^2/(H259*0.000000001)^5/(EXP(hP*cL/(H259*0.000000001*kB*$B$11))-1))/1000000000000</f>
        <v>22.806810092352</v>
      </c>
      <c r="L259" s="16" t="n">
        <f aca="false">(2*hP*cL^2/(H259*0.000000001)^5/(EXP(hP*cL/(H259*0.000000001*kB*$B$12))-1))/1000000000000</f>
        <v>6.59335685590158</v>
      </c>
    </row>
    <row r="260" customFormat="false" ht="15" hidden="false" customHeight="false" outlineLevel="0" collapsed="false">
      <c r="H260" s="20" t="n">
        <v>828</v>
      </c>
      <c r="I260" s="27" t="n">
        <f aca="false">$B$14+$B$13*SUMPRODUCT($P$6:$P$27,EXP(0-((H260-$O$6:$O$27)/1.2)^2))</f>
        <v>0.02</v>
      </c>
      <c r="J260" s="16" t="n">
        <f aca="false">($B$15*(2*hP*cL^2/(H260*0.000000001)^5/(EXP(hP*cL/(H260*0.000000001*kB*$B$11))-1))*EXP(-I260)+(2*hP*cL^2/(H260*0.000000001)^5/(EXP(hP*cL/(H260*0.000000001*kB*$B$12))-1))*(1-EXP(-I260)))/1000000000000</f>
        <v>22.3708030800465</v>
      </c>
      <c r="K260" s="16" t="n">
        <f aca="false">$B$15*(2*hP*cL^2/(H260*0.000000001)^5/(EXP(hP*cL/(H260*0.000000001*kB*$B$11))-1))/1000000000000</f>
        <v>22.6898668102946</v>
      </c>
      <c r="L260" s="16" t="n">
        <f aca="false">(2*hP*cL^2/(H260*0.000000001)^5/(EXP(hP*cL/(H260*0.000000001*kB*$B$12))-1))/1000000000000</f>
        <v>6.57661666342649</v>
      </c>
    </row>
    <row r="261" customFormat="false" ht="15" hidden="false" customHeight="false" outlineLevel="0" collapsed="false">
      <c r="H261" s="20" t="n">
        <v>830</v>
      </c>
      <c r="I261" s="27" t="n">
        <f aca="false">$B$14+$B$13*SUMPRODUCT($P$6:$P$27,EXP(0-((H261-$O$6:$O$27)/1.2)^2))</f>
        <v>0.02</v>
      </c>
      <c r="J261" s="16" t="n">
        <f aca="false">($B$15*(2*hP*cL^2/(H261*0.000000001)^5/(EXP(hP*cL/(H261*0.000000001*kB*$B$11))-1))*EXP(-I261)+(2*hP*cL^2/(H261*0.000000001)^5/(EXP(hP*cL/(H261*0.000000001*kB*$B$12))-1))*(1-EXP(-I261)))/1000000000000</f>
        <v>22.256408161875</v>
      </c>
      <c r="K261" s="16" t="n">
        <f aca="false">$B$15*(2*hP*cL^2/(H261*0.000000001)^5/(EXP(hP*cL/(H261*0.000000001*kB*$B$11))-1))/1000000000000</f>
        <v>22.5735002577353</v>
      </c>
      <c r="L261" s="16" t="n">
        <f aca="false">(2*hP*cL^2/(H261*0.000000001)^5/(EXP(hP*cL/(H261*0.000000001*kB*$B$12))-1))/1000000000000</f>
        <v>6.55982093348864</v>
      </c>
    </row>
    <row r="262" customFormat="false" ht="15" hidden="false" customHeight="false" outlineLevel="0" collapsed="false">
      <c r="H262" s="20" t="n">
        <v>832</v>
      </c>
      <c r="I262" s="27" t="n">
        <f aca="false">$B$14+$B$13*SUMPRODUCT($P$6:$P$27,EXP(0-((H262-$O$6:$O$27)/1.2)^2))</f>
        <v>0.02</v>
      </c>
      <c r="J262" s="16" t="n">
        <f aca="false">($B$15*(2*hP*cL^2/(H262*0.000000001)^5/(EXP(hP*cL/(H262*0.000000001*kB*$B$11))-1))*EXP(-I262)+(2*hP*cL^2/(H262*0.000000001)^5/(EXP(hP*cL/(H262*0.000000001*kB*$B$12))-1))*(1-EXP(-I262)))/1000000000000</f>
        <v>22.1425765343536</v>
      </c>
      <c r="K262" s="16" t="n">
        <f aca="false">$B$15*(2*hP*cL^2/(H262*0.000000001)^5/(EXP(hP*cL/(H262*0.000000001*kB*$B$11))-1))/1000000000000</f>
        <v>22.4577094598755</v>
      </c>
      <c r="L262" s="16" t="n">
        <f aca="false">(2*hP*cL^2/(H262*0.000000001)^5/(EXP(hP*cL/(H262*0.000000001*kB*$B$12))-1))/1000000000000</f>
        <v>6.54297150297663</v>
      </c>
    </row>
    <row r="263" customFormat="false" ht="15" hidden="false" customHeight="false" outlineLevel="0" collapsed="false">
      <c r="H263" s="20" t="n">
        <v>834</v>
      </c>
      <c r="I263" s="27" t="n">
        <f aca="false">$B$14+$B$13*SUMPRODUCT($P$6:$P$27,EXP(0-((H263-$O$6:$O$27)/1.2)^2))</f>
        <v>0.02</v>
      </c>
      <c r="J263" s="16" t="n">
        <f aca="false">($B$15*(2*hP*cL^2/(H263*0.000000001)^5/(EXP(hP*cL/(H263*0.000000001*kB*$B$11))-1))*EXP(-I263)+(2*hP*cL^2/(H263*0.000000001)^5/(EXP(hP*cL/(H263*0.000000001*kB*$B$12))-1))*(1-EXP(-I263)))/1000000000000</f>
        <v>22.029307230157</v>
      </c>
      <c r="K263" s="16" t="n">
        <f aca="false">$B$15*(2*hP*cL^2/(H263*0.000000001)^5/(EXP(hP*cL/(H263*0.000000001*kB*$B$11))-1))/1000000000000</f>
        <v>22.3424933932538</v>
      </c>
      <c r="L263" s="16" t="n">
        <f aca="false">(2*hP*cL^2/(H263*0.000000001)^5/(EXP(hP*cL/(H263*0.000000001*kB*$B$12))-1))/1000000000000</f>
        <v>6.52607018340414</v>
      </c>
    </row>
    <row r="264" customFormat="false" ht="15" hidden="false" customHeight="false" outlineLevel="0" collapsed="false">
      <c r="H264" s="20" t="n">
        <v>836</v>
      </c>
      <c r="I264" s="27" t="n">
        <f aca="false">$B$14+$B$13*SUMPRODUCT($P$6:$P$27,EXP(0-((H264-$O$6:$O$27)/1.2)^2))</f>
        <v>0.02</v>
      </c>
      <c r="J264" s="16" t="n">
        <f aca="false">($B$15*(2*hP*cL^2/(H264*0.000000001)^5/(EXP(hP*cL/(H264*0.000000001*kB*$B$11))-1))*EXP(-I264)+(2*hP*cL^2/(H264*0.000000001)^5/(EXP(hP*cL/(H264*0.000000001*kB*$B$12))-1))*(1-EXP(-I264)))/1000000000000</f>
        <v>21.9165992351298</v>
      </c>
      <c r="K264" s="16" t="n">
        <f aca="false">$B$15*(2*hP*cL^2/(H264*0.000000001)^5/(EXP(hP*cL/(H264*0.000000001*kB*$B$11))-1))/1000000000000</f>
        <v>22.2278509871405</v>
      </c>
      <c r="L264" s="16" t="n">
        <f aca="false">(2*hP*cL^2/(H264*0.000000001)^5/(EXP(hP*cL/(H264*0.000000001*kB*$B$12))-1))/1000000000000</f>
        <v>6.50911876113637</v>
      </c>
    </row>
    <row r="265" customFormat="false" ht="15" hidden="false" customHeight="false" outlineLevel="0" collapsed="false">
      <c r="H265" s="20" t="n">
        <v>838</v>
      </c>
      <c r="I265" s="27" t="n">
        <f aca="false">$B$14+$B$13*SUMPRODUCT($P$6:$P$27,EXP(0-((H265-$O$6:$O$27)/1.2)^2))</f>
        <v>0.02</v>
      </c>
      <c r="J265" s="16" t="n">
        <f aca="false">($B$15*(2*hP*cL^2/(H265*0.000000001)^5/(EXP(hP*cL/(H265*0.000000001*kB*$B$11))-1))*EXP(-I265)+(2*hP*cL^2/(H265*0.000000001)^5/(EXP(hP*cL/(H265*0.000000001*kB*$B$12))-1))*(1-EXP(-I265)))/1000000000000</f>
        <v>21.8044514896296</v>
      </c>
      <c r="K265" s="16" t="n">
        <f aca="false">$B$15*(2*hP*cL^2/(H265*0.000000001)^5/(EXP(hP*cL/(H265*0.000000001*kB*$B$11))-1))/1000000000000</f>
        <v>22.1137811249034</v>
      </c>
      <c r="L265" s="16" t="n">
        <f aca="false">(2*hP*cL^2/(H265*0.000000001)^5/(EXP(hP*cL/(H265*0.000000001*kB*$B$12))-1))/1000000000000</f>
        <v>6.49211899761699</v>
      </c>
    </row>
    <row r="266" customFormat="false" ht="15" hidden="false" customHeight="false" outlineLevel="0" collapsed="false">
      <c r="H266" s="20" t="n">
        <v>840</v>
      </c>
      <c r="I266" s="27" t="n">
        <f aca="false">$B$14+$B$13*SUMPRODUCT($P$6:$P$27,EXP(0-((H266-$O$6:$O$27)/1.2)^2))</f>
        <v>0.02</v>
      </c>
      <c r="J266" s="16" t="n">
        <f aca="false">($B$15*(2*hP*cL^2/(H266*0.000000001)^5/(EXP(hP*cL/(H266*0.000000001*kB*$B$11))-1))*EXP(-I266)+(2*hP*cL^2/(H266*0.000000001)^5/(EXP(hP*cL/(H266*0.000000001*kB*$B$12))-1))*(1-EXP(-I266)))/1000000000000</f>
        <v>21.6928628898418</v>
      </c>
      <c r="K266" s="16" t="n">
        <f aca="false">$B$15*(2*hP*cL^2/(H266*0.000000001)^5/(EXP(hP*cL/(H266*0.000000001*kB*$B$11))-1))/1000000000000</f>
        <v>22.0002826453449</v>
      </c>
      <c r="L266" s="16" t="n">
        <f aca="false">(2*hP*cL^2/(H266*0.000000001)^5/(EXP(hP*cL/(H266*0.000000001*kB*$B$12))-1))/1000000000000</f>
        <v>6.47507262959551</v>
      </c>
    </row>
    <row r="267" customFormat="false" ht="15" hidden="false" customHeight="false" outlineLevel="0" collapsed="false">
      <c r="H267" s="20" t="n">
        <v>842</v>
      </c>
      <c r="I267" s="27" t="n">
        <f aca="false">$B$14+$B$13*SUMPRODUCT($P$6:$P$27,EXP(0-((H267-$O$6:$O$27)/1.2)^2))</f>
        <v>0.02</v>
      </c>
      <c r="J267" s="16" t="n">
        <f aca="false">($B$15*(2*hP*cL^2/(H267*0.000000001)^5/(EXP(hP*cL/(H267*0.000000001*kB*$B$11))-1))*EXP(-I267)+(2*hP*cL^2/(H267*0.000000001)^5/(EXP(hP*cL/(H267*0.000000001*kB*$B$12))-1))*(1-EXP(-I267)))/1000000000000</f>
        <v>21.5818322890678</v>
      </c>
      <c r="K267" s="16" t="n">
        <f aca="false">$B$15*(2*hP*cL^2/(H267*0.000000001)^5/(EXP(hP*cL/(H267*0.000000001*kB*$B$11))-1))/1000000000000</f>
        <v>21.8873543440109</v>
      </c>
      <c r="L267" s="16" t="n">
        <f aca="false">(2*hP*cL^2/(H267*0.000000001)^5/(EXP(hP*cL/(H267*0.000000001*kB*$B$12))-1))/1000000000000</f>
        <v>6.45798136935488</v>
      </c>
    </row>
    <row r="268" customFormat="false" ht="15" hidden="false" customHeight="false" outlineLevel="0" collapsed="false">
      <c r="H268" s="20" t="n">
        <v>844</v>
      </c>
      <c r="I268" s="27" t="n">
        <f aca="false">$B$14+$B$13*SUMPRODUCT($P$6:$P$27,EXP(0-((H268-$O$6:$O$27)/1.2)^2))</f>
        <v>0.02</v>
      </c>
      <c r="J268" s="16" t="n">
        <f aca="false">($B$15*(2*hP*cL^2/(H268*0.000000001)^5/(EXP(hP*cL/(H268*0.000000001*kB*$B$11))-1))*EXP(-I268)+(2*hP*cL^2/(H268*0.000000001)^5/(EXP(hP*cL/(H268*0.000000001*kB*$B$12))-1))*(1-EXP(-I268)))/1000000000000</f>
        <v>21.4713584989848</v>
      </c>
      <c r="K268" s="16" t="n">
        <f aca="false">$B$15*(2*hP*cL^2/(H268*0.000000001)^5/(EXP(hP*cL/(H268*0.000000001*kB*$B$11))-1))/1000000000000</f>
        <v>21.7749949744722</v>
      </c>
      <c r="L268" s="16" t="n">
        <f aca="false">(2*hP*cL^2/(H268*0.000000001)^5/(EXP(hP*cL/(H268*0.000000001*kB*$B$12))-1))/1000000000000</f>
        <v>6.44084690493929</v>
      </c>
    </row>
    <row r="269" customFormat="false" ht="15" hidden="false" customHeight="false" outlineLevel="0" collapsed="false">
      <c r="H269" s="20" t="n">
        <v>846</v>
      </c>
      <c r="I269" s="27" t="n">
        <f aca="false">$B$14+$B$13*SUMPRODUCT($P$6:$P$27,EXP(0-((H269-$O$6:$O$27)/1.2)^2))</f>
        <v>0.02</v>
      </c>
      <c r="J269" s="16" t="n">
        <f aca="false">($B$15*(2*hP*cL^2/(H269*0.000000001)^5/(EXP(hP*cL/(H269*0.000000001*kB*$B$11))-1))*EXP(-I269)+(2*hP*cL^2/(H269*0.000000001)^5/(EXP(hP*cL/(H269*0.000000001*kB*$B$12))-1))*(1-EXP(-I269)))/1000000000000</f>
        <v>21.3614402908805</v>
      </c>
      <c r="K269" s="16" t="n">
        <f aca="false">$B$15*(2*hP*cL^2/(H269*0.000000001)^5/(EXP(hP*cL/(H269*0.000000001*kB*$B$11))-1))/1000000000000</f>
        <v>21.6632032495792</v>
      </c>
      <c r="L269" s="16" t="n">
        <f aca="false">(2*hP*cL^2/(H269*0.000000001)^5/(EXP(hP*cL/(H269*0.000000001*kB*$B$12))-1))/1000000000000</f>
        <v>6.42367090038212</v>
      </c>
    </row>
    <row r="270" customFormat="false" ht="15" hidden="false" customHeight="false" outlineLevel="0" collapsed="false">
      <c r="H270" s="20" t="n">
        <v>848</v>
      </c>
      <c r="I270" s="27" t="n">
        <f aca="false">$B$14+$B$13*SUMPRODUCT($P$6:$P$27,EXP(0-((H270-$O$6:$O$27)/1.2)^2))</f>
        <v>0.02</v>
      </c>
      <c r="J270" s="16" t="n">
        <f aca="false">($B$15*(2*hP*cL^2/(H270*0.000000001)^5/(EXP(hP*cL/(H270*0.000000001*kB*$B$11))-1))*EXP(-I270)+(2*hP*cL^2/(H270*0.000000001)^5/(EXP(hP*cL/(H270*0.000000001*kB*$B$12))-1))*(1-EXP(-I270)))/1000000000000</f>
        <v>21.2520763968607</v>
      </c>
      <c r="K270" s="16" t="n">
        <f aca="false">$B$15*(2*hP*cL^2/(H270*0.000000001)^5/(EXP(hP*cL/(H270*0.000000001*kB*$B$11))-1))/1000000000000</f>
        <v>21.5519778426893</v>
      </c>
      <c r="L270" s="16" t="n">
        <f aca="false">(2*hP*cL^2/(H270*0.000000001)^5/(EXP(hP*cL/(H270*0.000000001*kB*$B$12))-1))/1000000000000</f>
        <v>6.40645499593389</v>
      </c>
    </row>
    <row r="271" customFormat="false" ht="15" hidden="false" customHeight="false" outlineLevel="0" collapsed="false">
      <c r="H271" s="20" t="n">
        <v>850</v>
      </c>
      <c r="I271" s="27" t="n">
        <f aca="false">$B$14+$B$13*SUMPRODUCT($P$6:$P$27,EXP(0-((H271-$O$6:$O$27)/1.2)^2))</f>
        <v>0.02</v>
      </c>
      <c r="J271" s="16" t="n">
        <f aca="false">($B$15*(2*hP*cL^2/(H271*0.000000001)^5/(EXP(hP*cL/(H271*0.000000001*kB*$B$11))-1))*EXP(-I271)+(2*hP*cL^2/(H271*0.000000001)^5/(EXP(hP*cL/(H271*0.000000001*kB*$B$12))-1))*(1-EXP(-I271)))/1000000000000</f>
        <v>21.1432655110323</v>
      </c>
      <c r="K271" s="16" t="n">
        <f aca="false">$B$15*(2*hP*cL^2/(H271*0.000000001)^5/(EXP(hP*cL/(H271*0.000000001*kB*$B$11))-1))/1000000000000</f>
        <v>21.4413173888691</v>
      </c>
      <c r="L271" s="16" t="n">
        <f aca="false">(2*hP*cL^2/(H271*0.000000001)^5/(EXP(hP*cL/(H271*0.000000001*kB*$B$12))-1))/1000000000000</f>
        <v>6.38920080829017</v>
      </c>
    </row>
    <row r="272" customFormat="false" ht="15" hidden="false" customHeight="false" outlineLevel="0" collapsed="false">
      <c r="H272" s="20" t="n">
        <v>852</v>
      </c>
      <c r="I272" s="27" t="n">
        <f aca="false">$B$14+$B$13*SUMPRODUCT($P$6:$P$27,EXP(0-((H272-$O$6:$O$27)/1.2)^2))</f>
        <v>0.02</v>
      </c>
      <c r="J272" s="16" t="n">
        <f aca="false">($B$15*(2*hP*cL^2/(H272*0.000000001)^5/(EXP(hP*cL/(H272*0.000000001*kB*$B$11))-1))*EXP(-I272)+(2*hP*cL^2/(H272*0.000000001)^5/(EXP(hP*cL/(H272*0.000000001*kB*$B$12))-1))*(1-EXP(-I272)))/1000000000000</f>
        <v>21.0350062906601</v>
      </c>
      <c r="K272" s="16" t="n">
        <f aca="false">$B$15*(2*hP*cL^2/(H272*0.000000001)^5/(EXP(hP*cL/(H272*0.000000001*kB*$B$11))-1))/1000000000000</f>
        <v>21.3312204860703</v>
      </c>
      <c r="L272" s="16" t="n">
        <f aca="false">(2*hP*cL^2/(H272*0.000000001)^5/(EXP(hP*cL/(H272*0.000000001*kB*$B$12))-1))/1000000000000</f>
        <v>6.37190993081936</v>
      </c>
    </row>
    <row r="273" customFormat="false" ht="15" hidden="false" customHeight="false" outlineLevel="0" collapsed="false">
      <c r="H273" s="20" t="n">
        <v>854</v>
      </c>
      <c r="I273" s="27" t="n">
        <f aca="false">$B$14+$B$13*SUMPRODUCT($P$6:$P$27,EXP(0-((H273-$O$6:$O$27)/1.2)^2))</f>
        <v>0.0200000000002037</v>
      </c>
      <c r="J273" s="16" t="n">
        <f aca="false">($B$15*(2*hP*cL^2/(H273*0.000000001)^5/(EXP(hP*cL/(H273*0.000000001*kB*$B$11))-1))*EXP(-I273)+(2*hP*cL^2/(H273*0.000000001)^5/(EXP(hP*cL/(H273*0.000000001*kB*$B$12))-1))*(1-EXP(-I273)))/1000000000000</f>
        <v>20.9272973572972</v>
      </c>
      <c r="K273" s="16" t="n">
        <f aca="false">$B$15*(2*hP*cL^2/(H273*0.000000001)^5/(EXP(hP*cL/(H273*0.000000001*kB*$B$11))-1))/1000000000000</f>
        <v>21.2216856962809</v>
      </c>
      <c r="L273" s="16" t="n">
        <f aca="false">(2*hP*cL^2/(H273*0.000000001)^5/(EXP(hP*cL/(H273*0.000000001*kB*$B$12))-1))/1000000000000</f>
        <v>6.35458393379032</v>
      </c>
    </row>
    <row r="274" customFormat="false" ht="15" hidden="false" customHeight="false" outlineLevel="0" collapsed="false">
      <c r="H274" s="20" t="n">
        <v>856</v>
      </c>
      <c r="I274" s="27" t="n">
        <f aca="false">$B$14+$B$13*SUMPRODUCT($P$6:$P$27,EXP(0-((H274-$O$6:$O$27)/1.2)^2))</f>
        <v>0.0200002715087256</v>
      </c>
      <c r="J274" s="16" t="n">
        <f aca="false">($B$15*(2*hP*cL^2/(H274*0.000000001)^5/(EXP(hP*cL/(H274*0.000000001*kB*$B$11))-1))*EXP(-I274)+(2*hP*cL^2/(H274*0.000000001)^5/(EXP(hP*cL/(H274*0.000000001*kB*$B$12))-1))*(1-EXP(-I274)))/1000000000000</f>
        <v>20.8201333656716</v>
      </c>
      <c r="K274" s="16" t="n">
        <f aca="false">$B$15*(2*hP*cL^2/(H274*0.000000001)^5/(EXP(hP*cL/(H274*0.000000001*kB*$B$11))-1))/1000000000000</f>
        <v>21.1127115466519</v>
      </c>
      <c r="L274" s="16" t="n">
        <f aca="false">(2*hP*cL^2/(H274*0.000000001)^5/(EXP(hP*cL/(H274*0.000000001*kB*$B$12))-1))/1000000000000</f>
        <v>6.33722436459968</v>
      </c>
    </row>
    <row r="275" customFormat="false" ht="15" hidden="false" customHeight="false" outlineLevel="0" collapsed="false">
      <c r="H275" s="20" t="n">
        <v>858</v>
      </c>
      <c r="I275" s="27" t="n">
        <f aca="false">$B$14+$B$13*SUMPRODUCT($P$6:$P$27,EXP(0-((H275-$O$6:$O$27)/1.2)^2))</f>
        <v>0.0213989275977145</v>
      </c>
      <c r="J275" s="16" t="n">
        <f aca="false">($B$15*(2*hP*cL^2/(H275*0.000000001)^5/(EXP(hP*cL/(H275*0.000000001*kB*$B$11))-1))*EXP(-I275)+(2*hP*cL^2/(H275*0.000000001)^5/(EXP(hP*cL/(H275*0.000000001*kB*$B$12))-1))*(1-EXP(-I275)))/1000000000000</f>
        <v>20.6934030107188</v>
      </c>
      <c r="K275" s="16" t="n">
        <f aca="false">$B$15*(2*hP*cL^2/(H275*0.000000001)^5/(EXP(hP*cL/(H275*0.000000001*kB*$B$11))-1))/1000000000000</f>
        <v>21.0042965305993</v>
      </c>
      <c r="L275" s="16" t="n">
        <f aca="false">(2*hP*cL^2/(H275*0.000000001)^5/(EXP(hP*cL/(H275*0.000000001*kB*$B$12))-1))/1000000000000</f>
        <v>6.31983274799882</v>
      </c>
    </row>
    <row r="276" customFormat="false" ht="15" hidden="false" customHeight="false" outlineLevel="0" collapsed="false">
      <c r="H276" s="20" t="n">
        <v>860</v>
      </c>
      <c r="I276" s="27" t="n">
        <f aca="false">$B$14+$B$13*SUMPRODUCT($P$6:$P$27,EXP(0-((H276-$O$6:$O$27)/1.2)^2))</f>
        <v>0.0478650330786935</v>
      </c>
      <c r="J276" s="16" t="n">
        <f aca="false">($B$15*(2*hP*cL^2/(H276*0.000000001)^5/(EXP(hP*cL/(H276*0.000000001*kB*$B$11))-1))*EXP(-I276)+(2*hP*cL^2/(H276*0.000000001)^5/(EXP(hP*cL/(H276*0.000000001*kB*$B$12))-1))*(1-EXP(-I276)))/1000000000000</f>
        <v>20.2143497856457</v>
      </c>
      <c r="K276" s="16" t="n">
        <f aca="false">$B$15*(2*hP*cL^2/(H276*0.000000001)^5/(EXP(hP*cL/(H276*0.000000001*kB*$B$11))-1))/1000000000000</f>
        <v>20.8964391088827</v>
      </c>
      <c r="L276" s="16" t="n">
        <f aca="false">(2*hP*cL^2/(H276*0.000000001)^5/(EXP(hP*cL/(H276*0.000000001*kB*$B$12))-1))/1000000000000</f>
        <v>6.30241058632052</v>
      </c>
    </row>
    <row r="277" customFormat="false" ht="15" hidden="false" customHeight="false" outlineLevel="0" collapsed="false">
      <c r="H277" s="20" t="n">
        <v>862</v>
      </c>
      <c r="I277" s="27" t="n">
        <f aca="false">$B$14+$B$13*SUMPRODUCT($P$6:$P$27,EXP(0-((H277-$O$6:$O$27)/1.2)^2))</f>
        <v>0.0221457441428931</v>
      </c>
      <c r="J277" s="16" t="n">
        <f aca="false">($B$15*(2*hP*cL^2/(H277*0.000000001)^5/(EXP(hP*cL/(H277*0.000000001*kB*$B$11))-1))*EXP(-I277)+(2*hP*cL^2/(H277*0.000000001)^5/(EXP(hP*cL/(H277*0.000000001*kB*$B$12))-1))*(1-EXP(-I277)))/1000000000000</f>
        <v>20.4714624485576</v>
      </c>
      <c r="K277" s="16" t="n">
        <f aca="false">$B$15*(2*hP*cL^2/(H277*0.000000001)^5/(EXP(hP*cL/(H277*0.000000001*kB*$B$11))-1))/1000000000000</f>
        <v>20.7891377106606</v>
      </c>
      <c r="L277" s="16" t="n">
        <f aca="false">(2*hP*cL^2/(H277*0.000000001)^5/(EXP(hP*cL/(H277*0.000000001*kB*$B$12))-1))/1000000000000</f>
        <v>6.28495935970509</v>
      </c>
    </row>
    <row r="278" customFormat="false" ht="15" hidden="false" customHeight="false" outlineLevel="0" collapsed="false">
      <c r="H278" s="20" t="n">
        <v>864</v>
      </c>
      <c r="I278" s="27" t="n">
        <f aca="false">$B$14+$B$13*SUMPRODUCT($P$6:$P$27,EXP(0-((H278-$O$6:$O$27)/1.2)^2))</f>
        <v>0.0201894475672015</v>
      </c>
      <c r="J278" s="16" t="n">
        <f aca="false">($B$15*(2*hP*cL^2/(H278*0.000000001)^5/(EXP(hP*cL/(H278*0.000000001*kB*$B$11))-1))*EXP(-I278)+(2*hP*cL^2/(H278*0.000000001)^5/(EXP(hP*cL/(H278*0.000000001*kB*$B$12))-1))*(1-EXP(-I278)))/1000000000000</f>
        <v>20.3942798469491</v>
      </c>
      <c r="K278" s="16" t="n">
        <f aca="false">$B$15*(2*hP*cL^2/(H278*0.000000001)^5/(EXP(hP*cL/(H278*0.000000001*kB*$B$11))-1))/1000000000000</f>
        <v>20.6823907345232</v>
      </c>
      <c r="L278" s="16" t="n">
        <f aca="false">(2*hP*cL^2/(H278*0.000000001)^5/(EXP(hP*cL/(H278*0.000000001*kB*$B$12))-1))/1000000000000</f>
        <v>6.26748052632599</v>
      </c>
    </row>
    <row r="279" customFormat="false" ht="15" hidden="false" customHeight="false" outlineLevel="0" collapsed="false">
      <c r="H279" s="20" t="n">
        <v>866</v>
      </c>
      <c r="I279" s="27" t="n">
        <f aca="false">$B$14+$B$13*SUMPRODUCT($P$6:$P$27,EXP(0-((H279-$O$6:$O$27)/1.2)^2))</f>
        <v>0.043852008788181</v>
      </c>
      <c r="J279" s="16" t="n">
        <f aca="false">($B$15*(2*hP*cL^2/(H279*0.000000001)^5/(EXP(hP*cL/(H279*0.000000001*kB*$B$11))-1))*EXP(-I279)+(2*hP*cL^2/(H279*0.000000001)^5/(EXP(hP*cL/(H279*0.000000001*kB*$B$12))-1))*(1-EXP(-I279)))/1000000000000</f>
        <v>19.9615384706007</v>
      </c>
      <c r="K279" s="16" t="n">
        <f aca="false">$B$15*(2*hP*cL^2/(H279*0.000000001)^5/(EXP(hP*cL/(H279*0.000000001*kB*$B$11))-1))/1000000000000</f>
        <v>20.5761965495018</v>
      </c>
      <c r="L279" s="16" t="n">
        <f aca="false">(2*hP*cL^2/(H279*0.000000001)^5/(EXP(hP*cL/(H279*0.000000001*kB*$B$12))-1))/1000000000000</f>
        <v>6.24997552261487</v>
      </c>
    </row>
    <row r="280" customFormat="false" ht="15" hidden="false" customHeight="false" outlineLevel="0" collapsed="false">
      <c r="H280" s="20" t="n">
        <v>868</v>
      </c>
      <c r="I280" s="27" t="n">
        <f aca="false">$B$14+$B$13*SUMPRODUCT($P$6:$P$27,EXP(0-((H280-$O$6:$O$27)/1.2)^2))</f>
        <v>0.0316487837219192</v>
      </c>
      <c r="J280" s="16" t="n">
        <f aca="false">($B$15*(2*hP*cL^2/(H280*0.000000001)^5/(EXP(hP*cL/(H280*0.000000001*kB*$B$11))-1))*EXP(-I280)+(2*hP*cL^2/(H280*0.000000001)^5/(EXP(hP*cL/(H280*0.000000001*kB*$B$12))-1))*(1-EXP(-I280)))/1000000000000</f>
        <v>20.0269908369138</v>
      </c>
      <c r="K280" s="16" t="n">
        <f aca="false">$B$15*(2*hP*cL^2/(H280*0.000000001)^5/(EXP(hP*cL/(H280*0.000000001*kB*$B$11))-1))/1000000000000</f>
        <v>20.4705534960574</v>
      </c>
      <c r="L280" s="16" t="n">
        <f aca="false">(2*hP*cL^2/(H280*0.000000001)^5/(EXP(hP*cL/(H280*0.000000001*kB*$B$12))-1))/1000000000000</f>
        <v>6.23244576348603</v>
      </c>
    </row>
    <row r="281" customFormat="false" ht="15" hidden="false" customHeight="false" outlineLevel="0" collapsed="false">
      <c r="H281" s="20" t="n">
        <v>870</v>
      </c>
      <c r="I281" s="27" t="n">
        <f aca="false">$B$14+$B$13*SUMPRODUCT($P$6:$P$27,EXP(0-((H281-$O$6:$O$27)/1.2)^2))</f>
        <v>0.0200219933959311</v>
      </c>
      <c r="J281" s="16" t="n">
        <f aca="false">($B$15*(2*hP*cL^2/(H281*0.000000001)^5/(EXP(hP*cL/(H281*0.000000001*kB*$B$11))-1))*EXP(-I281)+(2*hP*cL^2/(H281*0.000000001)^5/(EXP(hP*cL/(H281*0.000000001*kB*$B$12))-1))*(1-EXP(-I281)))/1000000000000</f>
        <v>20.0849548290204</v>
      </c>
      <c r="K281" s="16" t="n">
        <f aca="false">$B$15*(2*hP*cL^2/(H281*0.000000001)^5/(EXP(hP*cL/(H281*0.000000001*kB*$B$11))-1))/1000000000000</f>
        <v>20.365459887047</v>
      </c>
      <c r="L281" s="16" t="n">
        <f aca="false">(2*hP*cL^2/(H281*0.000000001)^5/(EXP(hP*cL/(H281*0.000000001*kB*$B$12))-1))/1000000000000</f>
        <v>6.21489264256011</v>
      </c>
    </row>
    <row r="282" customFormat="false" ht="15" hidden="false" customHeight="false" outlineLevel="0" collapsed="false">
      <c r="H282" s="20" t="n">
        <v>872</v>
      </c>
      <c r="I282" s="27" t="n">
        <f aca="false">$B$14+$B$13*SUMPRODUCT($P$6:$P$27,EXP(0-((H282-$O$6:$O$27)/1.2)^2))</f>
        <v>0.0200242819795675</v>
      </c>
      <c r="J282" s="16" t="n">
        <f aca="false">($B$15*(2*hP*cL^2/(H282*0.000000001)^5/(EXP(hP*cL/(H282*0.000000001*kB*$B$11))-1))*EXP(-I282)+(2*hP*cL^2/(H282*0.000000001)^5/(EXP(hP*cL/(H282*0.000000001*kB*$B$12))-1))*(1-EXP(-I282)))/1000000000000</f>
        <v>19.9821014144555</v>
      </c>
      <c r="K282" s="16" t="n">
        <f aca="false">$B$15*(2*hP*cL^2/(H282*0.000000001)^5/(EXP(hP*cL/(H282*0.000000001*kB*$B$11))-1))/1000000000000</f>
        <v>20.2609140086688</v>
      </c>
      <c r="L282" s="16" t="n">
        <f aca="false">(2*hP*cL^2/(H282*0.000000001)^5/(EXP(hP*cL/(H282*0.000000001*kB*$B$12))-1))/1000000000000</f>
        <v>6.19731753238712</v>
      </c>
    </row>
    <row r="283" customFormat="false" ht="15" hidden="false" customHeight="false" outlineLevel="0" collapsed="false">
      <c r="H283" s="20" t="n">
        <v>874</v>
      </c>
      <c r="I283" s="27" t="n">
        <f aca="false">$B$14+$B$13*SUMPRODUCT($P$6:$P$27,EXP(0-((H283-$O$6:$O$27)/1.2)^2))</f>
        <v>0.034017491420984</v>
      </c>
      <c r="J283" s="16" t="n">
        <f aca="false">($B$15*(2*hP*cL^2/(H283*0.000000001)^5/(EXP(hP*cL/(H283*0.000000001*kB*$B$11))-1))*EXP(-I283)+(2*hP*cL^2/(H283*0.000000001)^5/(EXP(hP*cL/(H283*0.000000001*kB*$B$12))-1))*(1-EXP(-I283)))/1000000000000</f>
        <v>19.68944130592</v>
      </c>
      <c r="K283" s="16" t="n">
        <f aca="false">$B$15*(2*hP*cL^2/(H283*0.000000001)^5/(EXP(hP*cL/(H283*0.000000001*kB*$B$11))-1))/1000000000000</f>
        <v>20.1569141213869</v>
      </c>
      <c r="L283" s="16" t="n">
        <f aca="false">(2*hP*cL^2/(H283*0.000000001)^5/(EXP(hP*cL/(H283*0.000000001*kB*$B$12))-1))/1000000000000</f>
        <v>6.17972178466866</v>
      </c>
    </row>
    <row r="284" customFormat="false" ht="15" hidden="false" customHeight="false" outlineLevel="0" collapsed="false">
      <c r="H284" s="20" t="n">
        <v>876</v>
      </c>
      <c r="I284" s="27" t="n">
        <f aca="false">$B$14+$B$13*SUMPRODUCT($P$6:$P$27,EXP(0-((H284-$O$6:$O$27)/1.2)^2))</f>
        <v>0.0512832782874477</v>
      </c>
      <c r="J284" s="16" t="n">
        <f aca="false">($B$15*(2*hP*cL^2/(H284*0.000000001)^5/(EXP(hP*cL/(H284*0.000000001*kB*$B$11))-1))*EXP(-I284)+(2*hP*cL^2/(H284*0.000000001)^5/(EXP(hP*cL/(H284*0.000000001*kB*$B$12))-1))*(1-EXP(-I284)))/1000000000000</f>
        <v>19.3590230552907</v>
      </c>
      <c r="K284" s="16" t="n">
        <f aca="false">$B$15*(2*hP*cL^2/(H284*0.000000001)^5/(EXP(hP*cL/(H284*0.000000001*kB*$B$11))-1))/1000000000000</f>
        <v>20.0534584608355</v>
      </c>
      <c r="L284" s="16" t="n">
        <f aca="false">(2*hP*cL^2/(H284*0.000000001)^5/(EXP(hP*cL/(H284*0.000000001*kB*$B$12))-1))/1000000000000</f>
        <v>6.16210673047925</v>
      </c>
    </row>
    <row r="285" customFormat="false" ht="15" hidden="false" customHeight="false" outlineLevel="0" collapsed="false">
      <c r="H285" s="20" t="n">
        <v>878</v>
      </c>
      <c r="I285" s="27" t="n">
        <f aca="false">$B$14+$B$13*SUMPRODUCT($P$6:$P$27,EXP(0-((H285-$O$6:$O$27)/1.2)^2))</f>
        <v>0.0202699026169501</v>
      </c>
      <c r="J285" s="16" t="n">
        <f aca="false">($B$15*(2*hP*cL^2/(H285*0.000000001)^5/(EXP(hP*cL/(H285*0.000000001*kB*$B$11))-1))*EXP(-I285)+(2*hP*cL^2/(H285*0.000000001)^5/(EXP(hP*cL/(H285*0.000000001*kB*$B$12))-1))*(1-EXP(-I285)))/1000000000000</f>
        <v>19.6735146890334</v>
      </c>
      <c r="K285" s="16" t="n">
        <f aca="false">$B$15*(2*hP*cL^2/(H285*0.000000001)^5/(EXP(hP*cL/(H285*0.000000001*kB*$B$11))-1))/1000000000000</f>
        <v>19.9505452387032</v>
      </c>
      <c r="L285" s="16" t="n">
        <f aca="false">(2*hP*cL^2/(H285*0.000000001)^5/(EXP(hP*cL/(H285*0.000000001*kB*$B$12))-1))/1000000000000</f>
        <v>6.14447368048696</v>
      </c>
    </row>
    <row r="286" customFormat="false" ht="15" hidden="false" customHeight="false" outlineLevel="0" collapsed="false">
      <c r="H286" s="20" t="n">
        <v>880</v>
      </c>
      <c r="I286" s="27" t="n">
        <f aca="false">$B$14+$B$13*SUMPRODUCT($P$6:$P$27,EXP(0-((H286-$O$6:$O$27)/1.2)^2))</f>
        <v>0.020000009002336</v>
      </c>
      <c r="J286" s="16" t="n">
        <f aca="false">($B$15*(2*hP*cL^2/(H286*0.000000001)^5/(EXP(hP*cL/(H286*0.000000001*kB*$B$11))-1))*EXP(-I286)+(2*hP*cL^2/(H286*0.000000001)^5/(EXP(hP*cL/(H286*0.000000001*kB*$B$12))-1))*(1-EXP(-I286)))/1000000000000</f>
        <v>19.5764716138736</v>
      </c>
      <c r="K286" s="16" t="n">
        <f aca="false">$B$15*(2*hP*cL^2/(H286*0.000000001)^5/(EXP(hP*cL/(H286*0.000000001*kB*$B$11))-1))/1000000000000</f>
        <v>19.8481726435973</v>
      </c>
      <c r="L286" s="16" t="n">
        <f aca="false">(2*hP*cL^2/(H286*0.000000001)^5/(EXP(hP*cL/(H286*0.000000001*kB*$B$12))-1))/1000000000000</f>
        <v>6.12682392517284</v>
      </c>
    </row>
    <row r="287" customFormat="false" ht="15" hidden="false" customHeight="false" outlineLevel="0" collapsed="false">
      <c r="H287" s="20" t="n">
        <v>882</v>
      </c>
      <c r="I287" s="27" t="n">
        <f aca="false">$B$14+$B$13*SUMPRODUCT($P$6:$P$27,EXP(0-((H287-$O$6:$O$27)/1.2)^2))</f>
        <v>0.0200000387785695</v>
      </c>
      <c r="J287" s="16" t="n">
        <f aca="false">($B$15*(2*hP*cL^2/(H287*0.000000001)^5/(EXP(hP*cL/(H287*0.000000001*kB*$B$11))-1))*EXP(-I287)+(2*hP*cL^2/(H287*0.000000001)^5/(EXP(hP*cL/(H287*0.000000001*kB*$B$12))-1))*(1-EXP(-I287)))/1000000000000</f>
        <v>19.4763040650608</v>
      </c>
      <c r="K287" s="16" t="n">
        <f aca="false">$B$15*(2*hP*cL^2/(H287*0.000000001)^5/(EXP(hP*cL/(H287*0.000000001*kB*$B$11))-1))/1000000000000</f>
        <v>19.7463388418898</v>
      </c>
      <c r="L287" s="16" t="n">
        <f aca="false">(2*hP*cL^2/(H287*0.000000001)^5/(EXP(hP*cL/(H287*0.000000001*kB*$B$12))-1))/1000000000000</f>
        <v>6.10915873504969</v>
      </c>
    </row>
    <row r="288" customFormat="false" ht="15" hidden="false" customHeight="false" outlineLevel="0" collapsed="false">
      <c r="H288" s="20" t="n">
        <v>884</v>
      </c>
      <c r="I288" s="27" t="n">
        <f aca="false">$B$14+$B$13*SUMPRODUCT($P$6:$P$27,EXP(0-((H288-$O$6:$O$27)/1.2)^2))</f>
        <v>0.0206915955651817</v>
      </c>
      <c r="J288" s="16" t="n">
        <f aca="false">($B$15*(2*hP*cL^2/(H288*0.000000001)^5/(EXP(hP*cL/(H288*0.000000001*kB*$B$11))-1))*EXP(-I288)+(2*hP*cL^2/(H288*0.000000001)^5/(EXP(hP*cL/(H288*0.000000001*kB*$B$12))-1))*(1-EXP(-I288)))/1000000000000</f>
        <v>19.3674786593388</v>
      </c>
      <c r="K288" s="16" t="n">
        <f aca="false">$B$15*(2*hP*cL^2/(H288*0.000000001)^5/(EXP(hP*cL/(H288*0.000000001*kB*$B$11))-1))/1000000000000</f>
        <v>19.6450419785434</v>
      </c>
      <c r="L288" s="16" t="n">
        <f aca="false">(2*hP*cL^2/(H288*0.000000001)^5/(EXP(hP*cL/(H288*0.000000001*kB*$B$12))-1))/1000000000000</f>
        <v>6.0914793608796</v>
      </c>
    </row>
    <row r="289" customFormat="false" ht="15" hidden="false" customHeight="false" outlineLevel="0" collapsed="false">
      <c r="H289" s="20" t="n">
        <v>886</v>
      </c>
      <c r="I289" s="27" t="n">
        <f aca="false">$B$14+$B$13*SUMPRODUCT($P$6:$P$27,EXP(0-((H289-$O$6:$O$27)/1.2)^2))</f>
        <v>0.0676832124518624</v>
      </c>
      <c r="J289" s="16" t="n">
        <f aca="false">($B$15*(2*hP*cL^2/(H289*0.000000001)^5/(EXP(hP*cL/(H289*0.000000001*kB*$B$11))-1))*EXP(-I289)+(2*hP*cL^2/(H289*0.000000001)^5/(EXP(hP*cL/(H289*0.000000001*kB*$B$12))-1))*(1-EXP(-I289)))/1000000000000</f>
        <v>18.6627237247276</v>
      </c>
      <c r="K289" s="16" t="n">
        <f aca="false">$B$15*(2*hP*cL^2/(H289*0.000000001)^5/(EXP(hP*cL/(H289*0.000000001*kB*$B$11))-1))/1000000000000</f>
        <v>19.5442801779201</v>
      </c>
      <c r="L289" s="16" t="n">
        <f aca="false">(2*hP*cL^2/(H289*0.000000001)^5/(EXP(hP*cL/(H289*0.000000001*kB*$B$12))-1))/1000000000000</f>
        <v>6.07378703389059</v>
      </c>
    </row>
    <row r="290" customFormat="false" ht="15" hidden="false" customHeight="false" outlineLevel="0" collapsed="false">
      <c r="H290" s="20" t="n">
        <v>888</v>
      </c>
      <c r="I290" s="27" t="n">
        <f aca="false">$B$14+$B$13*SUMPRODUCT($P$6:$P$27,EXP(0-((H290-$O$6:$O$27)/1.2)^2))</f>
        <v>0.0327095944089259</v>
      </c>
      <c r="J290" s="16" t="n">
        <f aca="false">($B$15*(2*hP*cL^2/(H290*0.000000001)^5/(EXP(hP*cL/(H290*0.000000001*kB*$B$11))-1))*EXP(-I290)+(2*hP*cL^2/(H290*0.000000001)^5/(EXP(hP*cL/(H290*0.000000001*kB*$B$12))-1))*(1-EXP(-I290)))/1000000000000</f>
        <v>19.013221079366</v>
      </c>
      <c r="K290" s="16" t="n">
        <f aca="false">$B$15*(2*hP*cL^2/(H290*0.000000001)^5/(EXP(hP*cL/(H290*0.000000001*kB*$B$11))-1))/1000000000000</f>
        <v>19.4440515445709</v>
      </c>
      <c r="L290" s="16" t="n">
        <f aca="false">(2*hP*cL^2/(H290*0.000000001)^5/(EXP(hP*cL/(H290*0.000000001*kB*$B$12))-1))/1000000000000</f>
        <v>6.05608296599213</v>
      </c>
    </row>
    <row r="291" customFormat="false" ht="15" hidden="false" customHeight="false" outlineLevel="0" collapsed="false">
      <c r="H291" s="20" t="n">
        <v>890</v>
      </c>
      <c r="I291" s="27" t="n">
        <f aca="false">$B$14+$B$13*SUMPRODUCT($P$6:$P$27,EXP(0-((H291-$O$6:$O$27)/1.2)^2))</f>
        <v>0.0200130963645276</v>
      </c>
      <c r="J291" s="16" t="n">
        <f aca="false">($B$15*(2*hP*cL^2/(H291*0.000000001)^5/(EXP(hP*cL/(H291*0.000000001*kB*$B$11))-1))*EXP(-I291)+(2*hP*cL^2/(H291*0.000000001)^5/(EXP(hP*cL/(H291*0.000000001*kB*$B$12))-1))*(1-EXP(-I291)))/1000000000000</f>
        <v>19.0807071835868</v>
      </c>
      <c r="K291" s="16" t="n">
        <f aca="false">$B$15*(2*hP*cL^2/(H291*0.000000001)^5/(EXP(hP*cL/(H291*0.000000001*kB*$B$11))-1))/1000000000000</f>
        <v>19.344354164008</v>
      </c>
      <c r="L291" s="16" t="n">
        <f aca="false">(2*hP*cL^2/(H291*0.000000001)^5/(EXP(hP*cL/(H291*0.000000001*kB*$B$12))-1))/1000000000000</f>
        <v>6.03836834998951</v>
      </c>
    </row>
    <row r="292" customFormat="false" ht="15" hidden="false" customHeight="false" outlineLevel="0" collapsed="false">
      <c r="H292" s="20" t="n">
        <v>892</v>
      </c>
      <c r="I292" s="27" t="n">
        <f aca="false">$B$14+$B$13*SUMPRODUCT($P$6:$P$27,EXP(0-((H292-$O$6:$O$27)/1.2)^2))</f>
        <v>0.0200000000521702</v>
      </c>
      <c r="J292" s="16" t="n">
        <f aca="false">($B$15*(2*hP*cL^2/(H292*0.000000001)^5/(EXP(hP*cL/(H292*0.000000001*kB*$B$11))-1))*EXP(-I292)+(2*hP*cL^2/(H292*0.000000001)^5/(EXP(hP*cL/(H292*0.000000001*kB*$B$12))-1))*(1-EXP(-I292)))/1000000000000</f>
        <v>18.9833226313489</v>
      </c>
      <c r="K292" s="16" t="n">
        <f aca="false">$B$15*(2*hP*cL^2/(H292*0.000000001)^5/(EXP(hP*cL/(H292*0.000000001*kB*$B$11))-1))/1000000000000</f>
        <v>19.2451861034599</v>
      </c>
      <c r="L292" s="16" t="n">
        <f aca="false">(2*hP*cL^2/(H292*0.000000001)^5/(EXP(hP*cL/(H292*0.000000001*kB*$B$12))-1))/1000000000000</f>
        <v>6.0206443597972</v>
      </c>
    </row>
    <row r="293" customFormat="false" ht="15" hidden="false" customHeight="false" outlineLevel="0" collapsed="false">
      <c r="H293" s="20" t="n">
        <v>894</v>
      </c>
      <c r="I293" s="27" t="n">
        <f aca="false">$B$14+$B$13*SUMPRODUCT($P$6:$P$27,EXP(0-((H293-$O$6:$O$27)/1.2)^2))</f>
        <v>0.02</v>
      </c>
      <c r="J293" s="16" t="n">
        <f aca="false">($B$15*(2*hP*cL^2/(H293*0.000000001)^5/(EXP(hP*cL/(H293*0.000000001*kB*$B$11))-1))*EXP(-I293)+(2*hP*cL^2/(H293*0.000000001)^5/(EXP(hP*cL/(H293*0.000000001*kB*$B$12))-1))*(1-EXP(-I293)))/1000000000000</f>
        <v>18.8862840364525</v>
      </c>
      <c r="K293" s="16" t="n">
        <f aca="false">$B$15*(2*hP*cL^2/(H293*0.000000001)^5/(EXP(hP*cL/(H293*0.000000001*kB*$B$11))-1))/1000000000000</f>
        <v>19.1465454126087</v>
      </c>
      <c r="L293" s="16" t="n">
        <f aca="false">(2*hP*cL^2/(H293*0.000000001)^5/(EXP(hP*cL/(H293*0.000000001*kB*$B$12))-1))/1000000000000</f>
        <v>6.00291215065087</v>
      </c>
    </row>
    <row r="294" customFormat="false" ht="15" hidden="false" customHeight="false" outlineLevel="0" collapsed="false">
      <c r="H294" s="20" t="n">
        <v>896</v>
      </c>
      <c r="I294" s="27" t="n">
        <f aca="false">$B$14+$B$13*SUMPRODUCT($P$6:$P$27,EXP(0-((H294-$O$6:$O$27)/1.2)^2))</f>
        <v>0.0200000000088129</v>
      </c>
      <c r="J294" s="16" t="n">
        <f aca="false">($B$15*(2*hP*cL^2/(H294*0.000000001)^5/(EXP(hP*cL/(H294*0.000000001*kB*$B$11))-1))*EXP(-I294)+(2*hP*cL^2/(H294*0.000000001)^5/(EXP(hP*cL/(H294*0.000000001*kB*$B$12))-1))*(1-EXP(-I294)))/1000000000000</f>
        <v>18.7897602994166</v>
      </c>
      <c r="K294" s="16" t="n">
        <f aca="false">$B$15*(2*hP*cL^2/(H294*0.000000001)^5/(EXP(hP*cL/(H294*0.000000001*kB*$B$11))-1))/1000000000000</f>
        <v>19.0484301243115</v>
      </c>
      <c r="L294" s="16" t="n">
        <f aca="false">(2*hP*cL^2/(H294*0.000000001)^5/(EXP(hP*cL/(H294*0.000000001*kB*$B$12))-1))/1000000000000</f>
        <v>5.98517285931835</v>
      </c>
    </row>
    <row r="295" customFormat="false" ht="15" hidden="false" customHeight="false" outlineLevel="0" collapsed="false">
      <c r="H295" s="20" t="n">
        <v>898</v>
      </c>
      <c r="I295" s="27" t="n">
        <f aca="false">$B$14+$B$13*SUMPRODUCT($P$6:$P$27,EXP(0-((H295-$O$6:$O$27)/1.2)^2))</f>
        <v>0.0200046188865481</v>
      </c>
      <c r="J295" s="16" t="n">
        <f aca="false">($B$15*(2*hP*cL^2/(H295*0.000000001)^5/(EXP(hP*cL/(H295*0.000000001*kB*$B$11))-1))*EXP(-I295)+(2*hP*cL^2/(H295*0.000000001)^5/(EXP(hP*cL/(H295*0.000000001*kB*$B$12))-1))*(1-EXP(-I295)))/1000000000000</f>
        <v>18.6936907181104</v>
      </c>
      <c r="K295" s="16" t="n">
        <f aca="false">$B$15*(2*hP*cL^2/(H295*0.000000001)^5/(EXP(hP*cL/(H295*0.000000001*kB*$B$11))-1))/1000000000000</f>
        <v>18.9508382553046</v>
      </c>
      <c r="L295" s="16" t="n">
        <f aca="false">(2*hP*cL^2/(H295*0.000000001)^5/(EXP(hP*cL/(H295*0.000000001*kB*$B$12))-1))/1000000000000</f>
        <v>5.96742760430931</v>
      </c>
    </row>
    <row r="296" customFormat="false" ht="15" hidden="false" customHeight="false" outlineLevel="0" collapsed="false">
      <c r="H296" s="20" t="n">
        <v>900</v>
      </c>
      <c r="I296" s="27" t="n">
        <f aca="false">$B$14+$B$13*SUMPRODUCT($P$6:$P$27,EXP(0-((H296-$O$6:$O$27)/1.2)^2))</f>
        <v>0.0293585211296988</v>
      </c>
      <c r="J296" s="16" t="n">
        <f aca="false">($B$15*(2*hP*cL^2/(H296*0.000000001)^5/(EXP(hP*cL/(H296*0.000000001*kB*$B$11))-1))*EXP(-I296)+(2*hP*cL^2/(H296*0.000000001)^5/(EXP(hP*cL/(H296*0.000000001*kB*$B$12))-1))*(1-EXP(-I296)))/1000000000000</f>
        <v>18.4804299377245</v>
      </c>
      <c r="K296" s="16" t="n">
        <f aca="false">$B$15*(2*hP*cL^2/(H296*0.000000001)^5/(EXP(hP*cL/(H296*0.000000001*kB*$B$11))-1))/1000000000000</f>
        <v>18.8537678068918</v>
      </c>
      <c r="L296" s="16" t="n">
        <f aca="false">(2*hP*cL^2/(H296*0.000000001)^5/(EXP(hP*cL/(H296*0.000000001*kB*$B$12))-1))/1000000000000</f>
        <v>5.94967748608363</v>
      </c>
    </row>
    <row r="297" customFormat="false" ht="15" hidden="false" customHeight="false" outlineLevel="0" collapsed="false">
      <c r="H297" s="20" t="n">
        <v>902</v>
      </c>
      <c r="I297" s="27" t="n">
        <f aca="false">$B$14+$B$13*SUMPRODUCT($P$6:$P$27,EXP(0-((H297-$O$6:$O$27)/1.2)^2))</f>
        <v>0.0933043983872793</v>
      </c>
      <c r="J297" s="16" t="n">
        <f aca="false">($B$15*(2*hP*cL^2/(H297*0.000000001)^5/(EXP(hP*cL/(H297*0.000000001*kB*$B$11))-1))*EXP(-I297)+(2*hP*cL^2/(H297*0.000000001)^5/(EXP(hP*cL/(H297*0.000000001*kB*$B$12))-1))*(1-EXP(-I297)))/1000000000000</f>
        <v>17.614690614022</v>
      </c>
      <c r="K297" s="16" t="n">
        <f aca="false">$B$15*(2*hP*cL^2/(H297*0.000000001)^5/(EXP(hP*cL/(H297*0.000000001*kB*$B$11))-1))/1000000000000</f>
        <v>18.7572167656178</v>
      </c>
      <c r="L297" s="16" t="n">
        <f aca="false">(2*hP*cL^2/(H297*0.000000001)^5/(EXP(hP*cL/(H297*0.000000001*kB*$B$12))-1))/1000000000000</f>
        <v>5.93192358725864</v>
      </c>
    </row>
    <row r="298" customFormat="false" ht="15" hidden="false" customHeight="false" outlineLevel="0" collapsed="false">
      <c r="H298" s="20" t="n">
        <v>904</v>
      </c>
      <c r="I298" s="27" t="n">
        <f aca="false">$B$14+$B$13*SUMPRODUCT($P$6:$P$27,EXP(0-((H298-$O$6:$O$27)/1.2)^2))</f>
        <v>0.0222197584644185</v>
      </c>
      <c r="J298" s="16" t="n">
        <f aca="false">($B$15*(2*hP*cL^2/(H298*0.000000001)^5/(EXP(hP*cL/(H298*0.000000001*kB*$B$11))-1))*EXP(-I298)+(2*hP*cL^2/(H298*0.000000001)^5/(EXP(hP*cL/(H298*0.000000001*kB*$B$12))-1))*(1-EXP(-I298)))/1000000000000</f>
        <v>18.3810710203645</v>
      </c>
      <c r="K298" s="16" t="n">
        <f aca="false">$B$15*(2*hP*cL^2/(H298*0.000000001)^5/(EXP(hP*cL/(H298*0.000000001*kB*$B$11))-1))/1000000000000</f>
        <v>18.6611831039245</v>
      </c>
      <c r="L298" s="16" t="n">
        <f aca="false">(2*hP*cL^2/(H298*0.000000001)^5/(EXP(hP*cL/(H298*0.000000001*kB*$B$12))-1))/1000000000000</f>
        <v>5.9141669728149</v>
      </c>
    </row>
    <row r="299" customFormat="false" ht="15" hidden="false" customHeight="false" outlineLevel="0" collapsed="false">
      <c r="H299" s="20" t="n">
        <v>906</v>
      </c>
      <c r="I299" s="27" t="n">
        <f aca="false">$B$14+$B$13*SUMPRODUCT($P$6:$P$27,EXP(0-((H299-$O$6:$O$27)/1.2)^2))</f>
        <v>0.0200002598569196</v>
      </c>
      <c r="J299" s="16" t="n">
        <f aca="false">($B$15*(2*hP*cL^2/(H299*0.000000001)^5/(EXP(hP*cL/(H299*0.000000001*kB*$B$11))-1))*EXP(-I299)+(2*hP*cL^2/(H299*0.000000001)^5/(EXP(hP*cL/(H299*0.000000001*kB*$B$12))-1))*(1-EXP(-I299)))/1000000000000</f>
        <v>18.3147934749815</v>
      </c>
      <c r="K299" s="16" t="n">
        <f aca="false">$B$15*(2*hP*cL^2/(H299*0.000000001)^5/(EXP(hP*cL/(H299*0.000000001*kB*$B$11))-1))/1000000000000</f>
        <v>18.5656647807934</v>
      </c>
      <c r="L299" s="16" t="n">
        <f aca="false">(2*hP*cL^2/(H299*0.000000001)^5/(EXP(hP*cL/(H299*0.000000001*kB*$B$12))-1))/1000000000000</f>
        <v>5.89640869030071</v>
      </c>
    </row>
    <row r="300" customFormat="false" ht="15" hidden="false" customHeight="false" outlineLevel="0" collapsed="false">
      <c r="H300" s="20" t="n">
        <v>908</v>
      </c>
      <c r="I300" s="27" t="n">
        <f aca="false">$B$14+$B$13*SUMPRODUCT($P$6:$P$27,EXP(0-((H300-$O$6:$O$27)/1.2)^2))</f>
        <v>0.0200000000001176</v>
      </c>
      <c r="J300" s="16" t="n">
        <f aca="false">($B$15*(2*hP*cL^2/(H300*0.000000001)^5/(EXP(hP*cL/(H300*0.000000001*kB*$B$11))-1))*EXP(-I300)+(2*hP*cL^2/(H300*0.000000001)^5/(EXP(hP*cL/(H300*0.000000001*kB*$B$12))-1))*(1-EXP(-I300)))/1000000000000</f>
        <v>18.2213212391844</v>
      </c>
      <c r="K300" s="16" t="n">
        <f aca="false">$B$15*(2*hP*cL^2/(H300*0.000000001)^5/(EXP(hP*cL/(H300*0.000000001*kB*$B$11))-1))/1000000000000</f>
        <v>18.4706597423727</v>
      </c>
      <c r="L300" s="16" t="n">
        <f aca="false">(2*hP*cL^2/(H300*0.000000001)^5/(EXP(hP*cL/(H300*0.000000001*kB*$B$12))-1))/1000000000000</f>
        <v>5.87864977003538</v>
      </c>
    </row>
    <row r="301" customFormat="false" ht="15" hidden="false" customHeight="false" outlineLevel="0" collapsed="false">
      <c r="H301" s="20" t="n">
        <v>910</v>
      </c>
      <c r="I301" s="27" t="n">
        <f aca="false">$B$14+$B$13*SUMPRODUCT($P$6:$P$27,EXP(0-((H301-$O$6:$O$27)/1.2)^2))</f>
        <v>0.02</v>
      </c>
      <c r="J301" s="16" t="n">
        <f aca="false">($B$15*(2*hP*cL^2/(H301*0.000000001)^5/(EXP(hP*cL/(H301*0.000000001*kB*$B$11))-1))*EXP(-I301)+(2*hP*cL^2/(H301*0.000000001)^5/(EXP(hP*cL/(H301*0.000000001*kB*$B$12))-1))*(1-EXP(-I301)))/1000000000000</f>
        <v>18.1283468796536</v>
      </c>
      <c r="K301" s="16" t="n">
        <f aca="false">$B$15*(2*hP*cL^2/(H301*0.000000001)^5/(EXP(hP*cL/(H301*0.000000001*kB*$B$11))-1))/1000000000000</f>
        <v>18.3761659225901</v>
      </c>
      <c r="L301" s="16" t="n">
        <f aca="false">(2*hP*cL^2/(H301*0.000000001)^5/(EXP(hP*cL/(H301*0.000000001*kB*$B$12))-1))/1000000000000</f>
        <v>5.86089122531089</v>
      </c>
    </row>
    <row r="302" customFormat="false" ht="15" hidden="false" customHeight="false" outlineLevel="0" collapsed="false">
      <c r="H302" s="20" t="n">
        <v>912</v>
      </c>
      <c r="I302" s="27" t="n">
        <f aca="false">$B$14+$B$13*SUMPRODUCT($P$6:$P$27,EXP(0-((H302-$O$6:$O$27)/1.2)^2))</f>
        <v>0.02</v>
      </c>
      <c r="J302" s="16" t="n">
        <f aca="false">($B$15*(2*hP*cL^2/(H302*0.000000001)^5/(EXP(hP*cL/(H302*0.000000001*kB*$B$11))-1))*EXP(-I302)+(2*hP*cL^2/(H302*0.000000001)^5/(EXP(hP*cL/(H302*0.000000001*kB*$B$12))-1))*(1-EXP(-I302)))/1000000000000</f>
        <v>18.0358716065657</v>
      </c>
      <c r="K302" s="16" t="n">
        <f aca="false">$B$15*(2*hP*cL^2/(H302*0.000000001)^5/(EXP(hP*cL/(H302*0.000000001*kB*$B$11))-1))/1000000000000</f>
        <v>18.2821812437506</v>
      </c>
      <c r="L302" s="16" t="n">
        <f aca="false">(2*hP*cL^2/(H302*0.000000001)^5/(EXP(hP*cL/(H302*0.000000001*kB*$B$12))-1))/1000000000000</f>
        <v>5.84313405259248</v>
      </c>
    </row>
    <row r="303" customFormat="false" ht="15" hidden="false" customHeight="false" outlineLevel="0" collapsed="false">
      <c r="H303" s="20" t="n">
        <v>914</v>
      </c>
      <c r="I303" s="27" t="n">
        <f aca="false">$B$14+$B$13*SUMPRODUCT($P$6:$P$27,EXP(0-((H303-$O$6:$O$27)/1.2)^2))</f>
        <v>0.02</v>
      </c>
      <c r="J303" s="16" t="n">
        <f aca="false">($B$15*(2*hP*cL^2/(H303*0.000000001)^5/(EXP(hP*cL/(H303*0.000000001*kB*$B$11))-1))*EXP(-I303)+(2*hP*cL^2/(H303*0.000000001)^5/(EXP(hP*cL/(H303*0.000000001*kB*$B$12))-1))*(1-EXP(-I303)))/1000000000000</f>
        <v>17.9438933919509</v>
      </c>
      <c r="K303" s="16" t="n">
        <f aca="false">$B$15*(2*hP*cL^2/(H303*0.000000001)^5/(EXP(hP*cL/(H303*0.000000001*kB*$B$11))-1))/1000000000000</f>
        <v>18.1887036171208</v>
      </c>
      <c r="L303" s="16" t="n">
        <f aca="false">(2*hP*cL^2/(H303*0.000000001)^5/(EXP(hP*cL/(H303*0.000000001*kB*$B$12))-1))/1000000000000</f>
        <v>5.82537923171754</v>
      </c>
    </row>
    <row r="304" customFormat="false" ht="15" hidden="false" customHeight="false" outlineLevel="0" collapsed="false">
      <c r="H304" s="20" t="n">
        <v>916</v>
      </c>
      <c r="I304" s="27" t="n">
        <f aca="false">$B$14+$B$13*SUMPRODUCT($P$6:$P$27,EXP(0-((H304-$O$6:$O$27)/1.2)^2))</f>
        <v>0.02</v>
      </c>
      <c r="J304" s="16" t="n">
        <f aca="false">($B$15*(2*hP*cL^2/(H304*0.000000001)^5/(EXP(hP*cL/(H304*0.000000001*kB*$B$11))-1))*EXP(-I304)+(2*hP*cL^2/(H304*0.000000001)^5/(EXP(hP*cL/(H304*0.000000001*kB*$B$12))-1))*(1-EXP(-I304)))/1000000000000</f>
        <v>17.8524101972519</v>
      </c>
      <c r="K304" s="16" t="n">
        <f aca="false">$B$15*(2*hP*cL^2/(H304*0.000000001)^5/(EXP(hP*cL/(H304*0.000000001*kB*$B$11))-1))/1000000000000</f>
        <v>18.0957309435001</v>
      </c>
      <c r="L304" s="16" t="n">
        <f aca="false">(2*hP*cL^2/(H304*0.000000001)^5/(EXP(hP*cL/(H304*0.000000001*kB*$B$12))-1))/1000000000000</f>
        <v>5.80762772609328</v>
      </c>
    </row>
    <row r="305" customFormat="false" ht="15" hidden="false" customHeight="false" outlineLevel="0" collapsed="false">
      <c r="H305" s="20" t="n">
        <v>918</v>
      </c>
      <c r="I305" s="27" t="n">
        <f aca="false">$B$14+$B$13*SUMPRODUCT($P$6:$P$27,EXP(0-((H305-$O$6:$O$27)/1.2)^2))</f>
        <v>0.0200000010042063</v>
      </c>
      <c r="J305" s="16" t="n">
        <f aca="false">($B$15*(2*hP*cL^2/(H305*0.000000001)^5/(EXP(hP*cL/(H305*0.000000001*kB*$B$11))-1))*EXP(-I305)+(2*hP*cL^2/(H305*0.000000001)^5/(EXP(hP*cL/(H305*0.000000001*kB*$B$12))-1))*(1-EXP(-I305)))/1000000000000</f>
        <v>17.761419961854</v>
      </c>
      <c r="K305" s="16" t="n">
        <f aca="false">$B$15*(2*hP*cL^2/(H305*0.000000001)^5/(EXP(hP*cL/(H305*0.000000001*kB*$B$11))-1))/1000000000000</f>
        <v>18.003261113777</v>
      </c>
      <c r="L305" s="16" t="n">
        <f aca="false">(2*hP*cL^2/(H305*0.000000001)^5/(EXP(hP*cL/(H305*0.000000001*kB*$B$12))-1))/1000000000000</f>
        <v>5.78988048289289</v>
      </c>
    </row>
    <row r="306" customFormat="false" ht="15" hidden="false" customHeight="false" outlineLevel="0" collapsed="false">
      <c r="H306" s="20" t="n">
        <v>920</v>
      </c>
      <c r="I306" s="27" t="n">
        <f aca="false">$B$14+$B$13*SUMPRODUCT($P$6:$P$27,EXP(0-((H306-$O$6:$O$27)/1.2)^2))</f>
        <v>0.0201039244783104</v>
      </c>
      <c r="J306" s="16" t="n">
        <f aca="false">($B$15*(2*hP*cL^2/(H306*0.000000001)^5/(EXP(hP*cL/(H306*0.000000001*kB*$B$11))-1))*EXP(-I306)+(2*hP*cL^2/(H306*0.000000001)^5/(EXP(hP*cL/(H306*0.000000001*kB*$B$12))-1))*(1-EXP(-I306)))/1000000000000</f>
        <v>17.6696841532482</v>
      </c>
      <c r="K306" s="16" t="n">
        <f aca="false">$B$15*(2*hP*cL^2/(H306*0.000000001)^5/(EXP(hP*cL/(H306*0.000000001*kB*$B$11))-1))/1000000000000</f>
        <v>17.9112920094734</v>
      </c>
      <c r="L306" s="16" t="n">
        <f aca="false">(2*hP*cL^2/(H306*0.000000001)^5/(EXP(hP*cL/(H306*0.000000001*kB*$B$12))-1))/1000000000000</f>
        <v>5.77213843325027</v>
      </c>
    </row>
    <row r="307" customFormat="false" ht="15" hidden="false" customHeight="false" outlineLevel="0" collapsed="false">
      <c r="H307" s="20" t="n">
        <v>922</v>
      </c>
      <c r="I307" s="27" t="n">
        <f aca="false">$B$14+$B$13*SUMPRODUCT($P$6:$P$27,EXP(0-((H307-$O$6:$O$27)/1.2)^2))</f>
        <v>0.0615781942411924</v>
      </c>
      <c r="J307" s="16" t="n">
        <f aca="false">($B$15*(2*hP*cL^2/(H307*0.000000001)^5/(EXP(hP*cL/(H307*0.000000001*kB*$B$11))-1))*EXP(-I307)+(2*hP*cL^2/(H307*0.000000001)^5/(EXP(hP*cL/(H307*0.000000001*kB*$B$12))-1))*(1-EXP(-I307)))/1000000000000</f>
        <v>17.0992676630529</v>
      </c>
      <c r="K307" s="16" t="n">
        <f aca="false">$B$15*(2*hP*cL^2/(H307*0.000000001)^5/(EXP(hP*cL/(H307*0.000000001*kB*$B$11))-1))/1000000000000</f>
        <v>17.8198215032755</v>
      </c>
      <c r="L307" s="16" t="n">
        <f aca="false">(2*hP*cL^2/(H307*0.000000001)^5/(EXP(hP*cL/(H307*0.000000001*kB*$B$12))-1))/1000000000000</f>
        <v>5.75440249245327</v>
      </c>
    </row>
    <row r="308" customFormat="false" ht="15" hidden="false" customHeight="false" outlineLevel="0" collapsed="false">
      <c r="H308" s="20" t="n">
        <v>924</v>
      </c>
      <c r="I308" s="27" t="n">
        <f aca="false">$B$14+$B$13*SUMPRODUCT($P$6:$P$27,EXP(0-((H308-$O$6:$O$27)/1.2)^2))</f>
        <v>0.0843081880210841</v>
      </c>
      <c r="J308" s="16" t="n">
        <f aca="false">($B$15*(2*hP*cL^2/(H308*0.000000001)^5/(EXP(hP*cL/(H308*0.000000001*kB*$B$11))-1))*EXP(-I308)+(2*hP*cL^2/(H308*0.000000001)^5/(EXP(hP*cL/(H308*0.000000001*kB*$B$12))-1))*(1-EXP(-I308)))/1000000000000</f>
        <v>16.7592555205502</v>
      </c>
      <c r="K308" s="16" t="n">
        <f aca="false">$B$15*(2*hP*cL^2/(H308*0.000000001)^5/(EXP(hP*cL/(H308*0.000000001*kB*$B$11))-1))/1000000000000</f>
        <v>17.7288474595521</v>
      </c>
      <c r="L308" s="16" t="n">
        <f aca="false">(2*hP*cL^2/(H308*0.000000001)^5/(EXP(hP*cL/(H308*0.000000001*kB*$B$12))-1))/1000000000000</f>
        <v>5.73667356013549</v>
      </c>
    </row>
    <row r="309" customFormat="false" ht="15" hidden="false" customHeight="false" outlineLevel="0" collapsed="false">
      <c r="H309" s="20" t="n">
        <v>926</v>
      </c>
      <c r="I309" s="27" t="n">
        <f aca="false">$B$14+$B$13*SUMPRODUCT($P$6:$P$27,EXP(0-((H309-$O$6:$O$27)/1.2)^2))</f>
        <v>0.0203845207672702</v>
      </c>
      <c r="J309" s="16" t="n">
        <f aca="false">($B$15*(2*hP*cL^2/(H309*0.000000001)^5/(EXP(hP*cL/(H309*0.000000001*kB*$B$11))-1))*EXP(-I309)+(2*hP*cL^2/(H309*0.000000001)^5/(EXP(hP*cL/(H309*0.000000001*kB*$B$12))-1))*(1-EXP(-I309)))/1000000000000</f>
        <v>17.3978558558268</v>
      </c>
      <c r="K309" s="16" t="n">
        <f aca="false">$B$15*(2*hP*cL^2/(H309*0.000000001)^5/(EXP(hP*cL/(H309*0.000000001*kB*$B$11))-1))/1000000000000</f>
        <v>17.6383677348608</v>
      </c>
      <c r="L309" s="16" t="n">
        <f aca="false">(2*hP*cL^2/(H309*0.000000001)^5/(EXP(hP*cL/(H309*0.000000001*kB*$B$12))-1))/1000000000000</f>
        <v>5.7189525204666</v>
      </c>
    </row>
    <row r="310" customFormat="false" ht="15" hidden="false" customHeight="false" outlineLevel="0" collapsed="false">
      <c r="H310" s="20" t="n">
        <v>928</v>
      </c>
      <c r="I310" s="27" t="n">
        <f aca="false">$B$14+$B$13*SUMPRODUCT($P$6:$P$27,EXP(0-((H310-$O$6:$O$27)/1.2)^2))</f>
        <v>0.0200000088884535</v>
      </c>
      <c r="J310" s="16" t="n">
        <f aca="false">($B$15*(2*hP*cL^2/(H310*0.000000001)^5/(EXP(hP*cL/(H310*0.000000001*kB*$B$11))-1))*EXP(-I310)+(2*hP*cL^2/(H310*0.000000001)^5/(EXP(hP*cL/(H310*0.000000001*kB*$B$12))-1))*(1-EXP(-I310)))/1000000000000</f>
        <v>17.3137909869683</v>
      </c>
      <c r="K310" s="16" t="n">
        <f aca="false">$B$15*(2*hP*cL^2/(H310*0.000000001)^5/(EXP(hP*cL/(H310*0.000000001*kB*$B$11))-1))/1000000000000</f>
        <v>17.5483801784412</v>
      </c>
      <c r="L310" s="16" t="n">
        <f aca="false">(2*hP*cL^2/(H310*0.000000001)^5/(EXP(hP*cL/(H310*0.000000001*kB*$B$12))-1))/1000000000000</f>
        <v>5.70124024234111</v>
      </c>
    </row>
    <row r="311" customFormat="false" ht="15" hidden="false" customHeight="false" outlineLevel="0" collapsed="false">
      <c r="H311" s="20" t="n">
        <v>930</v>
      </c>
      <c r="I311" s="27" t="n">
        <f aca="false">$B$14+$B$13*SUMPRODUCT($P$6:$P$27,EXP(0-((H311-$O$6:$O$27)/1.2)^2))</f>
        <v>0.0200000000000008</v>
      </c>
      <c r="J311" s="16" t="n">
        <f aca="false">($B$15*(2*hP*cL^2/(H311*0.000000001)^5/(EXP(hP*cL/(H311*0.000000001*kB*$B$11))-1))*EXP(-I311)+(2*hP*cL^2/(H311*0.000000001)^5/(EXP(hP*cL/(H311*0.000000001*kB*$B$12))-1))*(1-EXP(-I311)))/1000000000000</f>
        <v>17.2257151783747</v>
      </c>
      <c r="K311" s="16" t="n">
        <f aca="false">$B$15*(2*hP*cL^2/(H311*0.000000001)^5/(EXP(hP*cL/(H311*0.000000001*kB*$B$11))-1))/1000000000000</f>
        <v>17.4588826326974</v>
      </c>
      <c r="L311" s="16" t="n">
        <f aca="false">(2*hP*cL^2/(H311*0.000000001)^5/(EXP(hP*cL/(H311*0.000000001*kB*$B$12))-1))/1000000000000</f>
        <v>5.68353757956571</v>
      </c>
    </row>
    <row r="312" customFormat="false" ht="15" hidden="false" customHeight="false" outlineLevel="0" collapsed="false">
      <c r="H312" s="20" t="n">
        <v>932</v>
      </c>
      <c r="I312" s="27" t="n">
        <f aca="false">$B$14+$B$13*SUMPRODUCT($P$6:$P$27,EXP(0-((H312-$O$6:$O$27)/1.2)^2))</f>
        <v>0.02</v>
      </c>
      <c r="J312" s="16" t="n">
        <f aca="false">($B$15*(2*hP*cL^2/(H312*0.000000001)^5/(EXP(hP*cL/(H312*0.000000001*kB*$B$11))-1))*EXP(-I312)+(2*hP*cL^2/(H312*0.000000001)^5/(EXP(hP*cL/(H312*0.000000001*kB*$B$12))-1))*(1-EXP(-I312)))/1000000000000</f>
        <v>17.1381176602737</v>
      </c>
      <c r="K312" s="16" t="n">
        <f aca="false">$B$15*(2*hP*cL^2/(H312*0.000000001)^5/(EXP(hP*cL/(H312*0.000000001*kB*$B$11))-1))/1000000000000</f>
        <v>17.3698729336679</v>
      </c>
      <c r="L312" s="16" t="n">
        <f aca="false">(2*hP*cL^2/(H312*0.000000001)^5/(EXP(hP*cL/(H312*0.000000001*kB*$B$12))-1))/1000000000000</f>
        <v>5.66584537104505</v>
      </c>
    </row>
    <row r="313" customFormat="false" ht="15" hidden="false" customHeight="false" outlineLevel="0" collapsed="false">
      <c r="H313" s="20" t="n">
        <v>934</v>
      </c>
      <c r="I313" s="27" t="n">
        <f aca="false">$B$14+$B$13*SUMPRODUCT($P$6:$P$27,EXP(0-((H313-$O$6:$O$27)/1.2)^2))</f>
        <v>0.02</v>
      </c>
      <c r="J313" s="16" t="n">
        <f aca="false">($B$15*(2*hP*cL^2/(H313*0.000000001)^5/(EXP(hP*cL/(H313*0.000000001*kB*$B$11))-1))*EXP(-I313)+(2*hP*cL^2/(H313*0.000000001)^5/(EXP(hP*cL/(H313*0.000000001*kB*$B$12))-1))*(1-EXP(-I313)))/1000000000000</f>
        <v>17.0509964253006</v>
      </c>
      <c r="K313" s="16" t="n">
        <f aca="false">$B$15*(2*hP*cL^2/(H313*0.000000001)^5/(EXP(hP*cL/(H313*0.000000001*kB*$B$11))-1))/1000000000000</f>
        <v>17.2813489114841</v>
      </c>
      <c r="L313" s="16" t="n">
        <f aca="false">(2*hP*cL^2/(H313*0.000000001)^5/(EXP(hP*cL/(H313*0.000000001*kB*$B$12))-1))/1000000000000</f>
        <v>5.64816444096598</v>
      </c>
    </row>
    <row r="314" customFormat="false" ht="15" hidden="false" customHeight="false" outlineLevel="0" collapsed="false">
      <c r="H314" s="20" t="n">
        <v>936</v>
      </c>
      <c r="I314" s="27" t="n">
        <f aca="false">$B$14+$B$13*SUMPRODUCT($P$6:$P$27,EXP(0-((H314-$O$6:$O$27)/1.2)^2))</f>
        <v>0.02</v>
      </c>
      <c r="J314" s="16" t="n">
        <f aca="false">($B$15*(2*hP*cL^2/(H314*0.000000001)^5/(EXP(hP*cL/(H314*0.000000001*kB*$B$11))-1))*EXP(-I314)+(2*hP*cL^2/(H314*0.000000001)^5/(EXP(hP*cL/(H314*0.000000001*kB*$B$12))-1))*(1-EXP(-I314)))/1000000000000</f>
        <v>16.9643493572343</v>
      </c>
      <c r="K314" s="16" t="n">
        <f aca="false">$B$15*(2*hP*cL^2/(H314*0.000000001)^5/(EXP(hP*cL/(H314*0.000000001*kB*$B$11))-1))/1000000000000</f>
        <v>17.1933083908183</v>
      </c>
      <c r="L314" s="16" t="n">
        <f aca="false">(2*hP*cL^2/(H314*0.000000001)^5/(EXP(hP*cL/(H314*0.000000001*kB*$B$12))-1))/1000000000000</f>
        <v>5.63049559898033</v>
      </c>
    </row>
    <row r="315" customFormat="false" ht="15" hidden="false" customHeight="false" outlineLevel="0" collapsed="false">
      <c r="H315" s="20" t="n">
        <v>938</v>
      </c>
      <c r="I315" s="27" t="n">
        <f aca="false">$B$14+$B$13*SUMPRODUCT($P$6:$P$27,EXP(0-((H315-$O$6:$O$27)/1.2)^2))</f>
        <v>0.02</v>
      </c>
      <c r="J315" s="16" t="n">
        <f aca="false">($B$15*(2*hP*cL^2/(H315*0.000000001)^5/(EXP(hP*cL/(H315*0.000000001*kB*$B$11))-1))*EXP(-I315)+(2*hP*cL^2/(H315*0.000000001)^5/(EXP(hP*cL/(H315*0.000000001*kB*$B$12))-1))*(1-EXP(-I315)))/1000000000000</f>
        <v>16.8781743346463</v>
      </c>
      <c r="K315" s="16" t="n">
        <f aca="false">$B$15*(2*hP*cL^2/(H315*0.000000001)^5/(EXP(hP*cL/(H315*0.000000001*kB*$B$11))-1))/1000000000000</f>
        <v>17.1057491913203</v>
      </c>
      <c r="L315" s="16" t="n">
        <f aca="false">(2*hP*cL^2/(H315*0.000000001)^5/(EXP(hP*cL/(H315*0.000000001*kB*$B$12))-1))/1000000000000</f>
        <v>5.61283964038609</v>
      </c>
    </row>
    <row r="316" customFormat="false" ht="15" hidden="false" customHeight="false" outlineLevel="0" collapsed="false">
      <c r="H316" s="20" t="n">
        <v>940</v>
      </c>
      <c r="I316" s="27" t="n">
        <f aca="false">$B$14+$B$13*SUMPRODUCT($P$6:$P$27,EXP(0-((H316-$O$6:$O$27)/1.2)^2))</f>
        <v>0.02</v>
      </c>
      <c r="J316" s="16" t="n">
        <f aca="false">($B$15*(2*hP*cL^2/(H316*0.000000001)^5/(EXP(hP*cL/(H316*0.000000001*kB*$B$11))-1))*EXP(-I316)+(2*hP*cL^2/(H316*0.000000001)^5/(EXP(hP*cL/(H316*0.000000001*kB*$B$12))-1))*(1-EXP(-I316)))/1000000000000</f>
        <v>16.7924692313214</v>
      </c>
      <c r="K316" s="16" t="n">
        <f aca="false">$B$15*(2*hP*cL^2/(H316*0.000000001)^5/(EXP(hP*cL/(H316*0.000000001*kB*$B$11))-1))/1000000000000</f>
        <v>17.0186691280426</v>
      </c>
      <c r="L316" s="16" t="n">
        <f aca="false">(2*hP*cL^2/(H316*0.000000001)^5/(EXP(hP*cL/(H316*0.000000001*kB*$B$12))-1))/1000000000000</f>
        <v>5.59519734630708</v>
      </c>
    </row>
    <row r="317" customFormat="false" ht="15" hidden="false" customHeight="false" outlineLevel="0" collapsed="false">
      <c r="H317" s="20" t="n">
        <v>942</v>
      </c>
      <c r="I317" s="27" t="n">
        <f aca="false">$B$14+$B$13*SUMPRODUCT($P$6:$P$27,EXP(0-((H317-$O$6:$O$27)/1.2)^2))</f>
        <v>0.02</v>
      </c>
      <c r="J317" s="16" t="n">
        <f aca="false">($B$15*(2*hP*cL^2/(H317*0.000000001)^5/(EXP(hP*cL/(H317*0.000000001*kB*$B$11))-1))*EXP(-I317)+(2*hP*cL^2/(H317*0.000000001)^5/(EXP(hP*cL/(H317*0.000000001*kB*$B$12))-1))*(1-EXP(-I317)))/1000000000000</f>
        <v>16.7072319166688</v>
      </c>
      <c r="K317" s="16" t="n">
        <f aca="false">$B$15*(2*hP*cL^2/(H317*0.000000001)^5/(EXP(hP*cL/(H317*0.000000001*kB*$B$11))-1))/1000000000000</f>
        <v>16.9320660118567</v>
      </c>
      <c r="L317" s="16" t="n">
        <f aca="false">(2*hP*cL^2/(H317*0.000000001)^5/(EXP(hP*cL/(H317*0.000000001*kB*$B$12))-1))/1000000000000</f>
        <v>5.57756948387107</v>
      </c>
    </row>
    <row r="318" customFormat="false" ht="15" hidden="false" customHeight="false" outlineLevel="0" collapsed="false">
      <c r="H318" s="20" t="n">
        <v>944</v>
      </c>
      <c r="I318" s="27" t="n">
        <f aca="false">$B$14+$B$13*SUMPRODUCT($P$6:$P$27,EXP(0-((H318-$O$6:$O$27)/1.2)^2))</f>
        <v>0.02</v>
      </c>
      <c r="J318" s="16" t="n">
        <f aca="false">($B$15*(2*hP*cL^2/(H318*0.000000001)^5/(EXP(hP*cL/(H318*0.000000001*kB*$B$11))-1))*EXP(-I318)+(2*hP*cL^2/(H318*0.000000001)^5/(EXP(hP*cL/(H318*0.000000001*kB*$B$12))-1))*(1-EXP(-I318)))/1000000000000</f>
        <v>16.6224602561219</v>
      </c>
      <c r="K318" s="16" t="n">
        <f aca="false">$B$15*(2*hP*cL^2/(H318*0.000000001)^5/(EXP(hP*cL/(H318*0.000000001*kB*$B$11))-1))/1000000000000</f>
        <v>16.8459376498572</v>
      </c>
      <c r="L318" s="16" t="n">
        <f aca="false">(2*hP*cL^2/(H318*0.000000001)^5/(EXP(hP*cL/(H318*0.000000001*kB*$B$12))-1))/1000000000000</f>
        <v>5.55995680638637</v>
      </c>
    </row>
    <row r="319" customFormat="false" ht="15" hidden="false" customHeight="false" outlineLevel="0" collapsed="false">
      <c r="H319" s="20" t="n">
        <v>946</v>
      </c>
      <c r="I319" s="27" t="n">
        <f aca="false">$B$14+$B$13*SUMPRODUCT($P$6:$P$27,EXP(0-((H319-$O$6:$O$27)/1.2)^2))</f>
        <v>0.02</v>
      </c>
      <c r="J319" s="16" t="n">
        <f aca="false">($B$15*(2*hP*cL^2/(H319*0.000000001)^5/(EXP(hP*cL/(H319*0.000000001*kB*$B$11))-1))*EXP(-I319)+(2*hP*cL^2/(H319*0.000000001)^5/(EXP(hP*cL/(H319*0.000000001*kB*$B$12))-1))*(1-EXP(-I319)))/1000000000000</f>
        <v>16.5381521115297</v>
      </c>
      <c r="K319" s="16" t="n">
        <f aca="false">$B$15*(2*hP*cL^2/(H319*0.000000001)^5/(EXP(hP*cL/(H319*0.000000001*kB*$B$11))-1))/1000000000000</f>
        <v>16.7602818457571</v>
      </c>
      <c r="L319" s="16" t="n">
        <f aca="false">(2*hP*cL^2/(H319*0.000000001)^5/(EXP(hP*cL/(H319*0.000000001*kB*$B$12))-1))/1000000000000</f>
        <v>5.54236005351681</v>
      </c>
    </row>
    <row r="320" customFormat="false" ht="15" hidden="false" customHeight="false" outlineLevel="0" collapsed="false">
      <c r="H320" s="20" t="n">
        <v>948</v>
      </c>
      <c r="I320" s="27" t="n">
        <f aca="false">$B$14+$B$13*SUMPRODUCT($P$6:$P$27,EXP(0-((H320-$O$6:$O$27)/1.2)^2))</f>
        <v>0.020000000000001</v>
      </c>
      <c r="J320" s="16" t="n">
        <f aca="false">($B$15*(2*hP*cL^2/(H320*0.000000001)^5/(EXP(hP*cL/(H320*0.000000001*kB*$B$11))-1))*EXP(-I320)+(2*hP*cL^2/(H320*0.000000001)^5/(EXP(hP*cL/(H320*0.000000001*kB*$B$12))-1))*(1-EXP(-I320)))/1000000000000</f>
        <v>16.4543053415369</v>
      </c>
      <c r="K320" s="16" t="n">
        <f aca="false">$B$15*(2*hP*cL^2/(H320*0.000000001)^5/(EXP(hP*cL/(H320*0.000000001*kB*$B$11))-1))/1000000000000</f>
        <v>16.675096400273</v>
      </c>
      <c r="L320" s="16" t="n">
        <f aca="false">(2*hP*cL^2/(H320*0.000000001)^5/(EXP(hP*cL/(H320*0.000000001*kB*$B$12))-1))/1000000000000</f>
        <v>5.52477995145524</v>
      </c>
    </row>
    <row r="321" customFormat="false" ht="15" hidden="false" customHeight="false" outlineLevel="0" collapsed="false">
      <c r="H321" s="20" t="n">
        <v>950</v>
      </c>
      <c r="I321" s="27" t="n">
        <f aca="false">$B$14+$B$13*SUMPRODUCT($P$6:$P$27,EXP(0-((H321-$O$6:$O$27)/1.2)^2))</f>
        <v>0.0200000112109968</v>
      </c>
      <c r="J321" s="16" t="n">
        <f aca="false">($B$15*(2*hP*cL^2/(H321*0.000000001)^5/(EXP(hP*cL/(H321*0.000000001*kB*$B$11))-1))*EXP(-I321)+(2*hP*cL^2/(H321*0.000000001)^5/(EXP(hP*cL/(H321*0.000000001*kB*$B$12))-1))*(1-EXP(-I321)))/1000000000000</f>
        <v>16.3709176801625</v>
      </c>
      <c r="K321" s="16" t="n">
        <f aca="false">$B$15*(2*hP*cL^2/(H321*0.000000001)^5/(EXP(hP*cL/(H321*0.000000001*kB*$B$11))-1))/1000000000000</f>
        <v>16.5903791114998</v>
      </c>
      <c r="L321" s="16" t="n">
        <f aca="false">(2*hP*cL^2/(H321*0.000000001)^5/(EXP(hP*cL/(H321*0.000000001*kB*$B$12))-1))/1000000000000</f>
        <v>5.50721721309543</v>
      </c>
    </row>
    <row r="322" customFormat="false" ht="15" hidden="false" customHeight="false" outlineLevel="0" collapsed="false">
      <c r="H322" s="20" t="n">
        <v>952</v>
      </c>
      <c r="I322" s="27" t="n">
        <f aca="false">$B$14+$B$13*SUMPRODUCT($P$6:$P$27,EXP(0-((H322-$O$6:$O$27)/1.2)^2))</f>
        <v>0.0205098618866916</v>
      </c>
      <c r="J322" s="16" t="n">
        <f aca="false">($B$15*(2*hP*cL^2/(H322*0.000000001)^5/(EXP(hP*cL/(H322*0.000000001*kB*$B$11))-1))*EXP(-I322)+(2*hP*cL^2/(H322*0.000000001)^5/(EXP(hP*cL/(H322*0.000000001*kB*$B$12))-1))*(1-EXP(-I322)))/1000000000000</f>
        <v>16.2824831002872</v>
      </c>
      <c r="K322" s="16" t="n">
        <f aca="false">$B$15*(2*hP*cL^2/(H322*0.000000001)^5/(EXP(hP*cL/(H322*0.000000001*kB*$B$11))-1))/1000000000000</f>
        <v>16.5061277752773</v>
      </c>
      <c r="L322" s="16" t="n">
        <f aca="false">(2*hP*cL^2/(H322*0.000000001)^5/(EXP(hP*cL/(H322*0.000000001*kB*$B$12))-1))/1000000000000</f>
        <v>5.48967253820239</v>
      </c>
    </row>
    <row r="323" customFormat="false" ht="15" hidden="false" customHeight="false" outlineLevel="0" collapsed="false">
      <c r="H323" s="20" t="n">
        <v>954</v>
      </c>
      <c r="I323" s="27" t="n">
        <f aca="false">$B$14+$B$13*SUMPRODUCT($P$6:$P$27,EXP(0-((H323-$O$6:$O$27)/1.2)^2))</f>
        <v>0.109642455736097</v>
      </c>
      <c r="J323" s="16" t="n">
        <f aca="false">($B$15*(2*hP*cL^2/(H323*0.000000001)^5/(EXP(hP*cL/(H323*0.000000001*kB*$B$11))-1))*EXP(-I323)+(2*hP*cL^2/(H323*0.000000001)^5/(EXP(hP*cL/(H323*0.000000001*kB*$B$12))-1))*(1-EXP(-I323)))/1000000000000</f>
        <v>15.2852117814477</v>
      </c>
      <c r="K323" s="16" t="n">
        <f aca="false">$B$15*(2*hP*cL^2/(H323*0.000000001)^5/(EXP(hP*cL/(H323*0.000000001*kB*$B$11))-1))/1000000000000</f>
        <v>16.4223401855458</v>
      </c>
      <c r="L323" s="16" t="n">
        <f aca="false">(2*hP*cL^2/(H323*0.000000001)^5/(EXP(hP*cL/(H323*0.000000001*kB*$B$12))-1))/1000000000000</f>
        <v>5.47214661358119</v>
      </c>
    </row>
    <row r="324" customFormat="false" ht="15" hidden="false" customHeight="false" outlineLevel="0" collapsed="false">
      <c r="H324" s="20" t="n">
        <v>956</v>
      </c>
      <c r="I324" s="27" t="n">
        <f aca="false">$B$14+$B$13*SUMPRODUCT($P$6:$P$27,EXP(0-((H324-$O$6:$O$27)/1.2)^2))</f>
        <v>0.0809295289352185</v>
      </c>
      <c r="J324" s="16" t="n">
        <f aca="false">($B$15*(2*hP*cL^2/(H324*0.000000001)^5/(EXP(hP*cL/(H324*0.000000001*kB*$B$11))-1))*EXP(-I324)+(2*hP*cL^2/(H324*0.000000001)^5/(EXP(hP*cL/(H324*0.000000001*kB*$B$12))-1))*(1-EXP(-I324)))/1000000000000</f>
        <v>15.4928485494611</v>
      </c>
      <c r="K324" s="16" t="n">
        <f aca="false">$B$15*(2*hP*cL^2/(H324*0.000000001)^5/(EXP(hP*cL/(H324*0.000000001*kB*$B$11))-1))/1000000000000</f>
        <v>16.3390141346945</v>
      </c>
      <c r="L324" s="16" t="n">
        <f aca="false">(2*hP*cL^2/(H324*0.000000001)^5/(EXP(hP*cL/(H324*0.000000001*kB*$B$12))-1))/1000000000000</f>
        <v>5.45464011324422</v>
      </c>
    </row>
    <row r="325" customFormat="false" ht="15" hidden="false" customHeight="false" outlineLevel="0" collapsed="false">
      <c r="H325" s="20" t="n">
        <v>958</v>
      </c>
      <c r="I325" s="27" t="n">
        <f aca="false">$B$14+$B$13*SUMPRODUCT($P$6:$P$27,EXP(0-((H325-$O$6:$O$27)/1.2)^2))</f>
        <v>0.0201601012688452</v>
      </c>
      <c r="J325" s="16" t="n">
        <f aca="false">($B$15*(2*hP*cL^2/(H325*0.000000001)^5/(EXP(hP*cL/(H325*0.000000001*kB*$B$11))-1))*EXP(-I325)+(2*hP*cL^2/(H325*0.000000001)^5/(EXP(hP*cL/(H325*0.000000001*kB*$B$12))-1))*(1-EXP(-I325)))/1000000000000</f>
        <v>16.0402192846976</v>
      </c>
      <c r="K325" s="16" t="n">
        <f aca="false">$B$15*(2*hP*cL^2/(H325*0.000000001)^5/(EXP(hP*cL/(H325*0.000000001*kB*$B$11))-1))/1000000000000</f>
        <v>16.2561474138992</v>
      </c>
      <c r="L325" s="16" t="n">
        <f aca="false">(2*hP*cL^2/(H325*0.000000001)^5/(EXP(hP*cL/(H325*0.000000001*kB*$B$12))-1))/1000000000000</f>
        <v>5.43715369857675</v>
      </c>
    </row>
    <row r="326" customFormat="false" ht="15" hidden="false" customHeight="false" outlineLevel="0" collapsed="false">
      <c r="H326" s="20" t="n">
        <v>960</v>
      </c>
      <c r="I326" s="27" t="n">
        <f aca="false">$B$14+$B$13*SUMPRODUCT($P$6:$P$27,EXP(0-((H326-$O$6:$O$27)/1.2)^2))</f>
        <v>0.0200000016263522</v>
      </c>
      <c r="J326" s="16" t="n">
        <f aca="false">($B$15*(2*hP*cL^2/(H326*0.000000001)^5/(EXP(hP*cL/(H326*0.000000001*kB*$B$11))-1))*EXP(-I326)+(2*hP*cL^2/(H326*0.000000001)^5/(EXP(hP*cL/(H326*0.000000001*kB*$B$12))-1))*(1-EXP(-I326)))/1000000000000</f>
        <v>15.9607933430436</v>
      </c>
      <c r="K326" s="16" t="n">
        <f aca="false">$B$15*(2*hP*cL^2/(H326*0.000000001)^5/(EXP(hP*cL/(H326*0.000000001*kB*$B$11))-1))/1000000000000</f>
        <v>16.1737378134524</v>
      </c>
      <c r="L326" s="16" t="n">
        <f aca="false">(2*hP*cL^2/(H326*0.000000001)^5/(EXP(hP*cL/(H326*0.000000001*kB*$B$12))-1))/1000000000000</f>
        <v>5.41968801850118</v>
      </c>
    </row>
    <row r="327" customFormat="false" ht="15" hidden="false" customHeight="false" outlineLevel="0" collapsed="false">
      <c r="H327" s="20" t="n">
        <v>962</v>
      </c>
      <c r="I327" s="27" t="n">
        <f aca="false">$B$14+$B$13*SUMPRODUCT($P$6:$P$27,EXP(0-((H327-$O$6:$O$27)/1.2)^2))</f>
        <v>0.0200000000000001</v>
      </c>
      <c r="J327" s="16" t="n">
        <f aca="false">($B$15*(2*hP*cL^2/(H327*0.000000001)^5/(EXP(hP*cL/(H327*0.000000001*kB*$B$11))-1))*EXP(-I327)+(2*hP*cL^2/(H327*0.000000001)^5/(EXP(hP*cL/(H327*0.000000001*kB*$B$12))-1))*(1-EXP(-I327)))/1000000000000</f>
        <v>15.8801160609586</v>
      </c>
      <c r="K327" s="16" t="n">
        <f aca="false">$B$15*(2*hP*cL^2/(H327*0.000000001)^5/(EXP(hP*cL/(H327*0.000000001*kB*$B$11))-1))/1000000000000</f>
        <v>16.0917831230845</v>
      </c>
      <c r="L327" s="16" t="n">
        <f aca="false">(2*hP*cL^2/(H327*0.000000001)^5/(EXP(hP*cL/(H327*0.000000001*kB*$B$12))-1))/1000000000000</f>
        <v>5.40224370963948</v>
      </c>
    </row>
    <row r="328" customFormat="false" ht="15" hidden="false" customHeight="false" outlineLevel="0" collapsed="false">
      <c r="H328" s="20" t="n">
        <v>964</v>
      </c>
      <c r="I328" s="27" t="n">
        <f aca="false">$B$14+$B$13*SUMPRODUCT($P$6:$P$27,EXP(0-((H328-$O$6:$O$27)/1.2)^2))</f>
        <v>0.02</v>
      </c>
      <c r="J328" s="16" t="n">
        <f aca="false">($B$15*(2*hP*cL^2/(H328*0.000000001)^5/(EXP(hP*cL/(H328*0.000000001*kB*$B$11))-1))*EXP(-I328)+(2*hP*cL^2/(H328*0.000000001)^5/(EXP(hP*cL/(H328*0.000000001*kB*$B$12))-1))*(1-EXP(-I328)))/1000000000000</f>
        <v>15.7998829327821</v>
      </c>
      <c r="K328" s="16" t="n">
        <f aca="false">$B$15*(2*hP*cL^2/(H328*0.000000001)^5/(EXP(hP*cL/(H328*0.000000001*kB*$B$11))-1))/1000000000000</f>
        <v>16.0102811322766</v>
      </c>
      <c r="L328" s="16" t="n">
        <f aca="false">(2*hP*cL^2/(H328*0.000000001)^5/(EXP(hP*cL/(H328*0.000000001*kB*$B$12))-1))/1000000000000</f>
        <v>5.38482139647426</v>
      </c>
    </row>
    <row r="329" customFormat="false" ht="15" hidden="false" customHeight="false" outlineLevel="0" collapsed="false">
      <c r="H329" s="20" t="n">
        <v>966</v>
      </c>
      <c r="I329" s="27" t="n">
        <f aca="false">$B$14+$B$13*SUMPRODUCT($P$6:$P$27,EXP(0-((H329-$O$6:$O$27)/1.2)^2))</f>
        <v>0.02</v>
      </c>
      <c r="J329" s="16" t="n">
        <f aca="false">($B$15*(2*hP*cL^2/(H329*0.000000001)^5/(EXP(hP*cL/(H329*0.000000001*kB*$B$11))-1))*EXP(-I329)+(2*hP*cL^2/(H329*0.000000001)^5/(EXP(hP*cL/(H329*0.000000001*kB*$B$12))-1))*(1-EXP(-I329)))/1000000000000</f>
        <v>15.7200918210927</v>
      </c>
      <c r="K329" s="16" t="n">
        <f aca="false">$B$15*(2*hP*cL^2/(H329*0.000000001)^5/(EXP(hP*cL/(H329*0.000000001*kB*$B$11))-1))/1000000000000</f>
        <v>15.9292296305653</v>
      </c>
      <c r="L329" s="16" t="n">
        <f aca="false">(2*hP*cL^2/(H329*0.000000001)^5/(EXP(hP*cL/(H329*0.000000001*kB*$B$12))-1))/1000000000000</f>
        <v>5.36742169150819</v>
      </c>
    </row>
    <row r="330" customFormat="false" ht="15" hidden="false" customHeight="false" outlineLevel="0" collapsed="false">
      <c r="H330" s="20" t="n">
        <v>968</v>
      </c>
      <c r="I330" s="27" t="n">
        <f aca="false">$B$14+$B$13*SUMPRODUCT($P$6:$P$27,EXP(0-((H330-$O$6:$O$27)/1.2)^2))</f>
        <v>0.02</v>
      </c>
      <c r="J330" s="16" t="n">
        <f aca="false">($B$15*(2*hP*cL^2/(H330*0.000000001)^5/(EXP(hP*cL/(H330*0.000000001*kB*$B$11))-1))*EXP(-I330)+(2*hP*cL^2/(H330*0.000000001)^5/(EXP(hP*cL/(H330*0.000000001*kB*$B$12))-1))*(1-EXP(-I330)))/1000000000000</f>
        <v>15.6407405714363</v>
      </c>
      <c r="K330" s="16" t="n">
        <f aca="false">$B$15*(2*hP*cL^2/(H330*0.000000001)^5/(EXP(hP*cL/(H330*0.000000001*kB*$B$11))-1))/1000000000000</f>
        <v>15.848626407839</v>
      </c>
      <c r="L330" s="16" t="n">
        <f aca="false">(2*hP*cL^2/(H330*0.000000001)^5/(EXP(hP*cL/(H330*0.000000001*kB*$B$12))-1))/1000000000000</f>
        <v>5.35004519542187</v>
      </c>
    </row>
    <row r="331" customFormat="false" ht="15" hidden="false" customHeight="false" outlineLevel="0" collapsed="false">
      <c r="H331" s="20" t="n">
        <v>970</v>
      </c>
      <c r="I331" s="27" t="n">
        <f aca="false">$B$14+$B$13*SUMPRODUCT($P$6:$P$27,EXP(0-((H331-$O$6:$O$27)/1.2)^2))</f>
        <v>0.02</v>
      </c>
      <c r="J331" s="16" t="n">
        <f aca="false">($B$15*(2*hP*cL^2/(H331*0.000000001)^5/(EXP(hP*cL/(H331*0.000000001*kB*$B$11))-1))*EXP(-I331)+(2*hP*cL^2/(H331*0.000000001)^5/(EXP(hP*cL/(H331*0.000000001*kB*$B$12))-1))*(1-EXP(-I331)))/1000000000000</f>
        <v>15.5618270297558</v>
      </c>
      <c r="K331" s="16" t="n">
        <f aca="false">$B$15*(2*hP*cL^2/(H331*0.000000001)^5/(EXP(hP*cL/(H331*0.000000001*kB*$B$11))-1))/1000000000000</f>
        <v>15.7684692546268</v>
      </c>
      <c r="L331" s="16" t="n">
        <f aca="false">(2*hP*cL^2/(H331*0.000000001)^5/(EXP(hP*cL/(H331*0.000000001*kB*$B$12))-1))/1000000000000</f>
        <v>5.33269249723023</v>
      </c>
    </row>
    <row r="332" customFormat="false" ht="15" hidden="false" customHeight="false" outlineLevel="0" collapsed="false">
      <c r="H332" s="20" t="n">
        <v>972</v>
      </c>
      <c r="I332" s="27" t="n">
        <f aca="false">$B$14+$B$13*SUMPRODUCT($P$6:$P$27,EXP(0-((H332-$O$6:$O$27)/1.2)^2))</f>
        <v>0.02</v>
      </c>
      <c r="J332" s="16" t="n">
        <f aca="false">($B$15*(2*hP*cL^2/(H332*0.000000001)^5/(EXP(hP*cL/(H332*0.000000001*kB*$B$11))-1))*EXP(-I332)+(2*hP*cL^2/(H332*0.000000001)^5/(EXP(hP*cL/(H332*0.000000001*kB*$B$12))-1))*(1-EXP(-I332)))/1000000000000</f>
        <v>15.4833490426699</v>
      </c>
      <c r="K332" s="16" t="n">
        <f aca="false">$B$15*(2*hP*cL^2/(H332*0.000000001)^5/(EXP(hP*cL/(H332*0.000000001*kB*$B$11))-1))/1000000000000</f>
        <v>15.6887559623799</v>
      </c>
      <c r="L332" s="16" t="n">
        <f aca="false">(2*hP*cL^2/(H332*0.000000001)^5/(EXP(hP*cL/(H332*0.000000001*kB*$B$12))-1))/1000000000000</f>
        <v>5.31536417443728</v>
      </c>
    </row>
    <row r="333" customFormat="false" ht="15" hidden="false" customHeight="false" outlineLevel="0" collapsed="false">
      <c r="H333" s="20" t="n">
        <v>974</v>
      </c>
      <c r="I333" s="27" t="n">
        <f aca="false">$B$14+$B$13*SUMPRODUCT($P$6:$P$27,EXP(0-((H333-$O$6:$O$27)/1.2)^2))</f>
        <v>0.02</v>
      </c>
      <c r="J333" s="16" t="n">
        <f aca="false">($B$15*(2*hP*cL^2/(H333*0.000000001)^5/(EXP(hP*cL/(H333*0.000000001*kB*$B$11))-1))*EXP(-I333)+(2*hP*cL^2/(H333*0.000000001)^5/(EXP(hP*cL/(H333*0.000000001*kB*$B$12))-1))*(1-EXP(-I333)))/1000000000000</f>
        <v>15.4053044577437</v>
      </c>
      <c r="K333" s="16" t="n">
        <f aca="false">$B$15*(2*hP*cL^2/(H333*0.000000001)^5/(EXP(hP*cL/(H333*0.000000001*kB*$B$11))-1))/1000000000000</f>
        <v>15.6094843237447</v>
      </c>
      <c r="L333" s="16" t="n">
        <f aca="false">(2*hP*cL^2/(H333*0.000000001)^5/(EXP(hP*cL/(H333*0.000000001*kB*$B$12))-1))/1000000000000</f>
        <v>5.2980607931894</v>
      </c>
    </row>
    <row r="334" customFormat="false" ht="15" hidden="false" customHeight="false" outlineLevel="0" collapsed="false">
      <c r="H334" s="20" t="n">
        <v>976</v>
      </c>
      <c r="I334" s="27" t="n">
        <f aca="false">$B$14+$B$13*SUMPRODUCT($P$6:$P$27,EXP(0-((H334-$O$6:$O$27)/1.2)^2))</f>
        <v>0.02</v>
      </c>
      <c r="J334" s="16" t="n">
        <f aca="false">($B$15*(2*hP*cL^2/(H334*0.000000001)^5/(EXP(hP*cL/(H334*0.000000001*kB*$B$11))-1))*EXP(-I334)+(2*hP*cL^2/(H334*0.000000001)^5/(EXP(hP*cL/(H334*0.000000001*kB*$B$12))-1))*(1-EXP(-I334)))/1000000000000</f>
        <v>15.3276911237535</v>
      </c>
      <c r="K334" s="16" t="n">
        <f aca="false">$B$15*(2*hP*cL^2/(H334*0.000000001)^5/(EXP(hP*cL/(H334*0.000000001*kB*$B$11))-1))/1000000000000</f>
        <v>15.5306521328289</v>
      </c>
      <c r="L334" s="16" t="n">
        <f aca="false">(2*hP*cL^2/(H334*0.000000001)^5/(EXP(hP*cL/(H334*0.000000001*kB*$B$12))-1))/1000000000000</f>
        <v>5.28078290842703</v>
      </c>
    </row>
    <row r="335" customFormat="false" ht="15" hidden="false" customHeight="false" outlineLevel="0" collapsed="false">
      <c r="H335" s="20" t="n">
        <v>978</v>
      </c>
      <c r="I335" s="27" t="n">
        <f aca="false">$B$14+$B$13*SUMPRODUCT($P$6:$P$27,EXP(0-((H335-$O$6:$O$27)/1.2)^2))</f>
        <v>0.02</v>
      </c>
      <c r="J335" s="16" t="n">
        <f aca="false">($B$15*(2*hP*cL^2/(H335*0.000000001)^5/(EXP(hP*cL/(H335*0.000000001*kB*$B$11))-1))*EXP(-I335)+(2*hP*cL^2/(H335*0.000000001)^5/(EXP(hP*cL/(H335*0.000000001*kB*$B$12))-1))*(1-EXP(-I335)))/1000000000000</f>
        <v>15.2505068909428</v>
      </c>
      <c r="K335" s="16" t="n">
        <f aca="false">$B$15*(2*hP*cL^2/(H335*0.000000001)^5/(EXP(hP*cL/(H335*0.000000001*kB*$B$11))-1))/1000000000000</f>
        <v>15.4522571854612</v>
      </c>
      <c r="L335" s="16" t="n">
        <f aca="false">(2*hP*cL^2/(H335*0.000000001)^5/(EXP(hP*cL/(H335*0.000000001*kB*$B$12))-1))/1000000000000</f>
        <v>5.26353106403495</v>
      </c>
    </row>
    <row r="336" customFormat="false" ht="15" hidden="false" customHeight="false" outlineLevel="0" collapsed="false">
      <c r="H336" s="20" t="n">
        <v>980</v>
      </c>
      <c r="I336" s="27" t="n">
        <f aca="false">$B$14+$B$13*SUMPRODUCT($P$6:$P$27,EXP(0-((H336-$O$6:$O$27)/1.2)^2))</f>
        <v>0.02</v>
      </c>
      <c r="J336" s="16" t="n">
        <f aca="false">($B$15*(2*hP*cL^2/(H336*0.000000001)^5/(EXP(hP*cL/(H336*0.000000001*kB*$B$11))-1))*EXP(-I336)+(2*hP*cL^2/(H336*0.000000001)^5/(EXP(hP*cL/(H336*0.000000001*kB*$B$12))-1))*(1-EXP(-I336)))/1000000000000</f>
        <v>15.1737496112724</v>
      </c>
      <c r="K336" s="16" t="n">
        <f aca="false">$B$15*(2*hP*cL^2/(H336*0.000000001)^5/(EXP(hP*cL/(H336*0.000000001*kB*$B$11))-1))/1000000000000</f>
        <v>15.374297279442</v>
      </c>
      <c r="L336" s="16" t="n">
        <f aca="false">(2*hP*cL^2/(H336*0.000000001)^5/(EXP(hP*cL/(H336*0.000000001*kB*$B$12))-1))/1000000000000</f>
        <v>5.24630579299082</v>
      </c>
    </row>
    <row r="337" customFormat="false" ht="15" hidden="false" customHeight="false" outlineLevel="0" collapsed="false">
      <c r="H337" s="20" t="n">
        <v>982</v>
      </c>
      <c r="I337" s="27" t="n">
        <f aca="false">$B$14+$B$13*SUMPRODUCT($P$6:$P$27,EXP(0-((H337-$O$6:$O$27)/1.2)^2))</f>
        <v>0.02</v>
      </c>
      <c r="J337" s="16" t="n">
        <f aca="false">($B$15*(2*hP*cL^2/(H337*0.000000001)^5/(EXP(hP*cL/(H337*0.000000001*kB*$B$11))-1))*EXP(-I337)+(2*hP*cL^2/(H337*0.000000001)^5/(EXP(hP*cL/(H337*0.000000001*kB*$B$12))-1))*(1-EXP(-I337)))/1000000000000</f>
        <v>15.0974171386636</v>
      </c>
      <c r="K337" s="16" t="n">
        <f aca="false">$B$15*(2*hP*cL^2/(H337*0.000000001)^5/(EXP(hP*cL/(H337*0.000000001*kB*$B$11))-1))/1000000000000</f>
        <v>15.2967702147897</v>
      </c>
      <c r="L337" s="16" t="n">
        <f aca="false">(2*hP*cL^2/(H337*0.000000001)^5/(EXP(hP*cL/(H337*0.000000001*kB*$B$12))-1))/1000000000000</f>
        <v>5.22910761751244</v>
      </c>
    </row>
    <row r="338" customFormat="false" ht="15" hidden="false" customHeight="false" outlineLevel="0" collapsed="false">
      <c r="H338" s="20" t="n">
        <v>984</v>
      </c>
      <c r="I338" s="27" t="n">
        <f aca="false">$B$14+$B$13*SUMPRODUCT($P$6:$P$27,EXP(0-((H338-$O$6:$O$27)/1.2)^2))</f>
        <v>0.02</v>
      </c>
      <c r="J338" s="16" t="n">
        <f aca="false">($B$15*(2*hP*cL^2/(H338*0.000000001)^5/(EXP(hP*cL/(H338*0.000000001*kB*$B$11))-1))*EXP(-I338)+(2*hP*cL^2/(H338*0.000000001)^5/(EXP(hP*cL/(H338*0.000000001*kB*$B$12))-1))*(1-EXP(-I338)))/1000000000000</f>
        <v>15.0215073292344</v>
      </c>
      <c r="K338" s="16" t="n">
        <f aca="false">$B$15*(2*hP*cL^2/(H338*0.000000001)^5/(EXP(hP*cL/(H338*0.000000001*kB*$B$11))-1))/1000000000000</f>
        <v>15.2196737939777</v>
      </c>
      <c r="L338" s="16" t="n">
        <f aca="false">(2*hP*cL^2/(H338*0.000000001)^5/(EXP(hP*cL/(H338*0.000000001*kB*$B$12))-1))/1000000000000</f>
        <v>5.21193704920331</v>
      </c>
    </row>
    <row r="339" customFormat="false" ht="15" hidden="false" customHeight="false" outlineLevel="0" collapsed="false">
      <c r="H339" s="20" t="n">
        <v>986</v>
      </c>
      <c r="I339" s="27" t="n">
        <f aca="false">$B$14+$B$13*SUMPRODUCT($P$6:$P$27,EXP(0-((H339-$O$6:$O$27)/1.2)^2))</f>
        <v>0.02</v>
      </c>
      <c r="J339" s="16" t="n">
        <f aca="false">($B$15*(2*hP*cL^2/(H339*0.000000001)^5/(EXP(hP*cL/(H339*0.000000001*kB*$B$11))-1))*EXP(-I339)+(2*hP*cL^2/(H339*0.000000001)^5/(EXP(hP*cL/(H339*0.000000001*kB*$B$12))-1))*(1-EXP(-I339)))/1000000000000</f>
        <v>14.9460180415293</v>
      </c>
      <c r="K339" s="16" t="n">
        <f aca="false">$B$15*(2*hP*cL^2/(H339*0.000000001)^5/(EXP(hP*cL/(H339*0.000000001*kB*$B$11))-1))/1000000000000</f>
        <v>15.1430058221668</v>
      </c>
      <c r="L339" s="16" t="n">
        <f aca="false">(2*hP*cL^2/(H339*0.000000001)^5/(EXP(hP*cL/(H339*0.000000001*kB*$B$12))-1))/1000000000000</f>
        <v>5.19479458919679</v>
      </c>
    </row>
    <row r="340" customFormat="false" ht="15" hidden="false" customHeight="false" outlineLevel="0" collapsed="false">
      <c r="H340" s="20" t="n">
        <v>988</v>
      </c>
      <c r="I340" s="27" t="n">
        <f aca="false">$B$14+$B$13*SUMPRODUCT($P$6:$P$27,EXP(0-((H340-$O$6:$O$27)/1.2)^2))</f>
        <v>0.02</v>
      </c>
      <c r="J340" s="16" t="n">
        <f aca="false">($B$15*(2*hP*cL^2/(H340*0.000000001)^5/(EXP(hP*cL/(H340*0.000000001*kB*$B$11))-1))*EXP(-I340)+(2*hP*cL^2/(H340*0.000000001)^5/(EXP(hP*cL/(H340*0.000000001*kB*$B$12))-1))*(1-EXP(-I340)))/1000000000000</f>
        <v>14.8709471367429</v>
      </c>
      <c r="K340" s="16" t="n">
        <f aca="false">$B$15*(2*hP*cL^2/(H340*0.000000001)^5/(EXP(hP*cL/(H340*0.000000001*kB*$B$11))-1))/1000000000000</f>
        <v>15.0667641074299</v>
      </c>
      <c r="L340" s="16" t="n">
        <f aca="false">(2*hP*cL^2/(H340*0.000000001)^5/(EXP(hP*cL/(H340*0.000000001*kB*$B$12))-1))/1000000000000</f>
        <v>5.17768072829868</v>
      </c>
    </row>
    <row r="341" customFormat="false" ht="15" hidden="false" customHeight="false" outlineLevel="0" collapsed="false">
      <c r="H341" s="20" t="n">
        <v>990</v>
      </c>
      <c r="I341" s="27" t="n">
        <f aca="false">$B$14+$B$13*SUMPRODUCT($P$6:$P$27,EXP(0-((H341-$O$6:$O$27)/1.2)^2))</f>
        <v>0.02</v>
      </c>
      <c r="J341" s="16" t="n">
        <f aca="false">($B$15*(2*hP*cL^2/(H341*0.000000001)^5/(EXP(hP*cL/(H341*0.000000001*kB*$B$11))-1))*EXP(-I341)+(2*hP*cL^2/(H341*0.000000001)^5/(EXP(hP*cL/(H341*0.000000001*kB*$B$12))-1))*(1-EXP(-I341)))/1000000000000</f>
        <v>14.7962924789372</v>
      </c>
      <c r="K341" s="16" t="n">
        <f aca="false">$B$15*(2*hP*cL^2/(H341*0.000000001)^5/(EXP(hP*cL/(H341*0.000000001*kB*$B$11))-1))/1000000000000</f>
        <v>14.9909464609709</v>
      </c>
      <c r="L341" s="16" t="n">
        <f aca="false">(2*hP*cL^2/(H341*0.000000001)^5/(EXP(hP*cL/(H341*0.000000001*kB*$B$12))-1))/1000000000000</f>
        <v>5.16059594712838</v>
      </c>
    </row>
    <row r="342" customFormat="false" ht="15" hidden="false" customHeight="false" outlineLevel="0" collapsed="false">
      <c r="H342" s="20" t="n">
        <v>992</v>
      </c>
      <c r="I342" s="27" t="n">
        <f aca="false">$B$14+$B$13*SUMPRODUCT($P$6:$P$27,EXP(0-((H342-$O$6:$O$27)/1.2)^2))</f>
        <v>0.02</v>
      </c>
      <c r="J342" s="16" t="n">
        <f aca="false">($B$15*(2*hP*cL^2/(H342*0.000000001)^5/(EXP(hP*cL/(H342*0.000000001*kB*$B$11))-1))*EXP(-I342)+(2*hP*cL^2/(H342*0.000000001)^5/(EXP(hP*cL/(H342*0.000000001*kB*$B$12))-1))*(1-EXP(-I342)))/1000000000000</f>
        <v>14.7220519352524</v>
      </c>
      <c r="K342" s="16" t="n">
        <f aca="false">$B$15*(2*hP*cL^2/(H342*0.000000001)^5/(EXP(hP*cL/(H342*0.000000001*kB*$B$11))-1))/1000000000000</f>
        <v>14.9155506973373</v>
      </c>
      <c r="L342" s="16" t="n">
        <f aca="false">(2*hP*cL^2/(H342*0.000000001)^5/(EXP(hP*cL/(H342*0.000000001*kB*$B$12))-1))/1000000000000</f>
        <v>5.1435407162585</v>
      </c>
    </row>
    <row r="343" customFormat="false" ht="15" hidden="false" customHeight="false" outlineLevel="0" collapsed="false">
      <c r="H343" s="20" t="n">
        <v>994</v>
      </c>
      <c r="I343" s="27" t="n">
        <f aca="false">$B$14+$B$13*SUMPRODUCT($P$6:$P$27,EXP(0-((H343-$O$6:$O$27)/1.2)^2))</f>
        <v>0.02</v>
      </c>
      <c r="J343" s="16" t="n">
        <f aca="false">($B$15*(2*hP*cL^2/(H343*0.000000001)^5/(EXP(hP*cL/(H343*0.000000001*kB*$B$11))-1))*EXP(-I343)+(2*hP*cL^2/(H343*0.000000001)^5/(EXP(hP*cL/(H343*0.000000001*kB*$B$12))-1))*(1-EXP(-I343)))/1000000000000</f>
        <v>14.6482233761121</v>
      </c>
      <c r="K343" s="16" t="n">
        <f aca="false">$B$15*(2*hP*cL^2/(H343*0.000000001)^5/(EXP(hP*cL/(H343*0.000000001*kB*$B$11))-1))/1000000000000</f>
        <v>14.8405746346265</v>
      </c>
      <c r="L343" s="16" t="n">
        <f aca="false">(2*hP*cL^2/(H343*0.000000001)^5/(EXP(hP*cL/(H343*0.000000001*kB*$B$12))-1))/1000000000000</f>
        <v>5.12651549635302</v>
      </c>
    </row>
    <row r="344" customFormat="false" ht="15" hidden="false" customHeight="false" outlineLevel="0" collapsed="false">
      <c r="H344" s="20" t="n">
        <v>996</v>
      </c>
      <c r="I344" s="27" t="n">
        <f aca="false">$B$14+$B$13*SUMPRODUCT($P$6:$P$27,EXP(0-((H344-$O$6:$O$27)/1.2)^2))</f>
        <v>0.02</v>
      </c>
      <c r="J344" s="16" t="n">
        <f aca="false">($B$15*(2*hP*cL^2/(H344*0.000000001)^5/(EXP(hP*cL/(H344*0.000000001*kB*$B$11))-1))*EXP(-I344)+(2*hP*cL^2/(H344*0.000000001)^5/(EXP(hP*cL/(H344*0.000000001*kB*$B$12))-1))*(1-EXP(-I344)))/1000000000000</f>
        <v>14.5748046754229</v>
      </c>
      <c r="K344" s="16" t="n">
        <f aca="false">$B$15*(2*hP*cL^2/(H344*0.000000001)^5/(EXP(hP*cL/(H344*0.000000001*kB*$B$11))-1))/1000000000000</f>
        <v>14.7660160946865</v>
      </c>
      <c r="L344" s="16" t="n">
        <f aca="false">(2*hP*cL^2/(H344*0.000000001)^5/(EXP(hP*cL/(H344*0.000000001*kB*$B$12))-1))/1000000000000</f>
        <v>5.10952073830394</v>
      </c>
    </row>
    <row r="345" customFormat="false" ht="15" hidden="false" customHeight="false" outlineLevel="0" collapsed="false">
      <c r="H345" s="20" t="n">
        <v>998</v>
      </c>
      <c r="I345" s="27" t="n">
        <f aca="false">$B$14+$B$13*SUMPRODUCT($P$6:$P$27,EXP(0-((H345-$O$6:$O$27)/1.2)^2))</f>
        <v>0.02</v>
      </c>
      <c r="J345" s="16" t="n">
        <f aca="false">($B$15*(2*hP*cL^2/(H345*0.000000001)^5/(EXP(hP*cL/(H345*0.000000001*kB*$B$11))-1))*EXP(-I345)+(2*hP*cL^2/(H345*0.000000001)^5/(EXP(hP*cL/(H345*0.000000001*kB*$B$12))-1))*(1-EXP(-I345)))/1000000000000</f>
        <v>14.5017937107676</v>
      </c>
      <c r="K345" s="16" t="n">
        <f aca="false">$B$15*(2*hP*cL^2/(H345*0.000000001)^5/(EXP(hP*cL/(H345*0.000000001*kB*$B$11))-1))/1000000000000</f>
        <v>14.6918729033102</v>
      </c>
      <c r="L345" s="16" t="n">
        <f aca="false">(2*hP*cL^2/(H345*0.000000001)^5/(EXP(hP*cL/(H345*0.000000001*kB*$B$12))-1))/1000000000000</f>
        <v>5.09255688336649</v>
      </c>
    </row>
    <row r="346" customFormat="false" ht="15" hidden="false" customHeight="false" outlineLevel="0" collapsed="false">
      <c r="H346" s="20" t="n">
        <v>1000</v>
      </c>
      <c r="I346" s="27" t="n">
        <f aca="false">$B$14+$B$13*SUMPRODUCT($P$6:$P$27,EXP(0-((H346-$O$6:$O$27)/1.2)^2))</f>
        <v>0.0200000014055697</v>
      </c>
      <c r="J346" s="16" t="n">
        <f aca="false">($B$15*(2*hP*cL^2/(H346*0.000000001)^5/(EXP(hP*cL/(H346*0.000000001*kB*$B$11))-1))*EXP(-I346)+(2*hP*cL^2/(H346*0.000000001)^5/(EXP(hP*cL/(H346*0.000000001*kB*$B$12))-1))*(1-EXP(-I346)))/1000000000000</f>
        <v>14.4291883504461</v>
      </c>
      <c r="K346" s="16" t="n">
        <f aca="false">$B$15*(2*hP*cL^2/(H346*0.000000001)^5/(EXP(hP*cL/(H346*0.000000001*kB*$B$11))-1))/1000000000000</f>
        <v>14.6181428904253</v>
      </c>
      <c r="L346" s="16" t="n">
        <f aca="false">(2*hP*cL^2/(H346*0.000000001)^5/(EXP(hP*cL/(H346*0.000000001*kB*$B$12))-1))/1000000000000</f>
        <v>5.07562436329293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157</v>
      </c>
    </row>
    <row r="2" customFormat="false" ht="15" hidden="false" customHeight="false" outlineLevel="0" collapsed="false">
      <c r="A2" s="2" t="s">
        <v>158</v>
      </c>
    </row>
    <row r="3" customFormat="false" ht="15" hidden="false" customHeight="false" outlineLevel="0" collapsed="false">
      <c r="A3" s="9" t="s">
        <v>159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85</v>
      </c>
      <c r="B6" s="11" t="n">
        <v>9900</v>
      </c>
      <c r="C6" s="7" t="s">
        <v>60</v>
      </c>
    </row>
    <row r="7" customFormat="false" ht="15" hidden="false" customHeight="false" outlineLevel="0" collapsed="false">
      <c r="A7" s="2" t="s">
        <v>160</v>
      </c>
      <c r="B7" s="11" t="n">
        <v>20</v>
      </c>
      <c r="C7" s="7" t="s">
        <v>161</v>
      </c>
    </row>
    <row r="9" customFormat="false" ht="15" hidden="false" customHeight="false" outlineLevel="0" collapsed="false">
      <c r="A9" s="10" t="s">
        <v>47</v>
      </c>
    </row>
    <row r="10" customFormat="false" ht="15" hidden="false" customHeight="false" outlineLevel="0" collapsed="false">
      <c r="A10" s="2" t="s">
        <v>162</v>
      </c>
      <c r="B10" s="18" t="n">
        <f aca="false">$B$7/(kB*$B$6)</f>
        <v>1.46322636687675E+020</v>
      </c>
      <c r="C10" s="7" t="s">
        <v>112</v>
      </c>
    </row>
    <row r="11" customFormat="false" ht="15" hidden="false" customHeight="false" outlineLevel="0" collapsed="false">
      <c r="A11" s="2" t="s">
        <v>163</v>
      </c>
      <c r="B11" s="13" t="n">
        <f aca="false">kB*$B$6/eV</f>
        <v>0.853115992952373</v>
      </c>
      <c r="C11" s="7" t="s">
        <v>164</v>
      </c>
    </row>
    <row r="12" customFormat="false" ht="15" hidden="false" customHeight="false" outlineLevel="0" collapsed="false">
      <c r="A12" s="2" t="s">
        <v>165</v>
      </c>
      <c r="B12" s="18" t="n">
        <f aca="false">4*EXP(-10.199*eV/(kB*$B$6))</f>
        <v>2.5708120295296E-005</v>
      </c>
      <c r="C12" s="7"/>
    </row>
    <row r="13" customFormat="false" ht="15" hidden="false" customHeight="false" outlineLevel="0" collapsed="false">
      <c r="A13" s="2" t="s">
        <v>166</v>
      </c>
      <c r="B13" s="18" t="n">
        <f aca="false">(2*PI()*mE*kB*$B$6/hP^2)^1.5*EXP(-13.598*eV/(kB*$B$6))/$B$10</f>
        <v>1.94396254764196</v>
      </c>
      <c r="C13" s="7"/>
    </row>
    <row r="14" customFormat="false" ht="15" hidden="false" customHeight="false" outlineLevel="0" collapsed="false">
      <c r="A14" s="2" t="s">
        <v>167</v>
      </c>
      <c r="B14" s="13" t="n">
        <f aca="false">$B$13/(1+$B$13)</f>
        <v>0.66032176570963</v>
      </c>
      <c r="C14" s="7"/>
    </row>
    <row r="15" customFormat="false" ht="15" hidden="false" customHeight="false" outlineLevel="0" collapsed="false">
      <c r="A15" s="2" t="s">
        <v>168</v>
      </c>
      <c r="B15" s="18" t="n">
        <f aca="false">$B$12/(1+$B$12)/(1+$B$13)</f>
        <v>8.73226441872642E-006</v>
      </c>
      <c r="C15" s="7"/>
    </row>
    <row r="16" customFormat="false" ht="15" hidden="false" customHeight="false" outlineLevel="0" collapsed="false">
      <c r="A16" s="2" t="s">
        <v>169</v>
      </c>
      <c r="B16" s="28" t="n">
        <f aca="false">INDEX(E18:E288,MATCH(MAX(G18:G288),G18:G288,0))</f>
        <v>9900</v>
      </c>
      <c r="C16" s="7" t="s">
        <v>60</v>
      </c>
    </row>
    <row r="17" customFormat="false" ht="23.85" hidden="false" customHeight="false" outlineLevel="0" collapsed="false">
      <c r="E17" s="15" t="s">
        <v>170</v>
      </c>
      <c r="F17" s="15" t="s">
        <v>171</v>
      </c>
      <c r="G17" s="15" t="s">
        <v>172</v>
      </c>
    </row>
    <row r="18" customFormat="false" ht="15" hidden="false" customHeight="false" outlineLevel="0" collapsed="false">
      <c r="E18" s="20" t="n">
        <v>3000</v>
      </c>
      <c r="F18" s="17" t="n">
        <f aca="false">(2*PI()*mE*kB*E18/hP^2)^1.5*EXP(-13.598*eV/(kB*E18))/($B$7/(kB*E18))/(1+(2*PI()*mE*kB*E18/hP^2)^1.5*EXP(-13.598*eV/(kB*E18))/($B$7/(kB*E18)))</f>
        <v>1.1778282520356E-017</v>
      </c>
      <c r="G18" s="17" t="n">
        <f aca="false">100000*(4*EXP(-10.199*eV/(kB*E18)))/(1+4*EXP(-10.199*eV/(kB*E18)))/(1+(2*PI()*mE*kB*E18/hP^2)^1.5*EXP(-13.598*eV/(kB*E18))/($B$7/(kB*E18)))</f>
        <v>2.94099365298686E-012</v>
      </c>
    </row>
    <row r="19" customFormat="false" ht="15" hidden="false" customHeight="false" outlineLevel="0" collapsed="false">
      <c r="E19" s="20" t="n">
        <v>3100</v>
      </c>
      <c r="F19" s="17" t="n">
        <f aca="false">(2*PI()*mE*kB*E19/hP^2)^1.5*EXP(-13.598*eV/(kB*E19))/($B$7/(kB*E19))/(1+(2*PI()*mE*kB*E19/hP^2)^1.5*EXP(-13.598*eV/(kB*E19))/($B$7/(kB*E19)))</f>
        <v>6.97548651454515E-017</v>
      </c>
      <c r="G19" s="17" t="n">
        <f aca="false">100000*(4*EXP(-10.199*eV/(kB*E19)))/(1+4*EXP(-10.199*eV/(kB*E19)))/(1+(2*PI()*mE*kB*E19/hP^2)^1.5*EXP(-13.598*eV/(kB*E19))/($B$7/(kB*E19)))</f>
        <v>1.05000111820379E-011</v>
      </c>
    </row>
    <row r="20" customFormat="false" ht="15" hidden="false" customHeight="false" outlineLevel="0" collapsed="false">
      <c r="E20" s="20" t="n">
        <v>3200</v>
      </c>
      <c r="F20" s="17" t="n">
        <f aca="false">(2*PI()*mE*kB*E20/hP^2)^1.5*EXP(-13.598*eV/(kB*E20))/($B$7/(kB*E20))/(1+(2*PI()*mE*kB*E20/hP^2)^1.5*EXP(-13.598*eV/(kB*E20))/($B$7/(kB*E20)))</f>
        <v>3.70579113524272E-016</v>
      </c>
      <c r="G20" s="17" t="n">
        <f aca="false">100000*(4*EXP(-10.199*eV/(kB*E20)))/(1+4*EXP(-10.199*eV/(kB*E20)))/(1+(2*PI()*mE*kB*E20/hP^2)^1.5*EXP(-13.598*eV/(kB*E20))/($B$7/(kB*E20)))</f>
        <v>3.4621187200488E-011</v>
      </c>
    </row>
    <row r="21" customFormat="false" ht="15" hidden="false" customHeight="false" outlineLevel="0" collapsed="false">
      <c r="E21" s="20" t="n">
        <v>3300</v>
      </c>
      <c r="F21" s="17" t="n">
        <f aca="false">(2*PI()*mE*kB*E21/hP^2)^1.5*EXP(-13.598*eV/(kB*E21))/($B$7/(kB*E21))/(1+(2*PI()*mE*kB*E21/hP^2)^1.5*EXP(-13.598*eV/(kB*E21))/($B$7/(kB*E21)))</f>
        <v>1.7834368407462E-015</v>
      </c>
      <c r="G21" s="17" t="n">
        <f aca="false">100000*(4*EXP(-10.199*eV/(kB*E21)))/(1+4*EXP(-10.199*eV/(kB*E21)))/(1+(2*PI()*mE*kB*E21/hP^2)^1.5*EXP(-13.598*eV/(kB*E21))/($B$7/(kB*E21)))</f>
        <v>1.06191801287297E-010</v>
      </c>
    </row>
    <row r="22" customFormat="false" ht="15" hidden="false" customHeight="false" outlineLevel="0" collapsed="false">
      <c r="E22" s="20" t="n">
        <v>3400</v>
      </c>
      <c r="F22" s="17" t="n">
        <f aca="false">(2*PI()*mE*kB*E22/hP^2)^1.5*EXP(-13.598*eV/(kB*E22))/($B$7/(kB*E22))/(1+(2*PI()*mE*kB*E22/hP^2)^1.5*EXP(-13.598*eV/(kB*E22))/($B$7/(kB*E22)))</f>
        <v>7.84264478870106E-015</v>
      </c>
      <c r="G22" s="17" t="n">
        <f aca="false">100000*(4*EXP(-10.199*eV/(kB*E22)))/(1+4*EXP(-10.199*eV/(kB*E22)))/(1+(2*PI()*mE*kB*E22/hP^2)^1.5*EXP(-13.598*eV/(kB*E22))/($B$7/(kB*E22)))</f>
        <v>3.0493531462979E-010</v>
      </c>
    </row>
    <row r="23" customFormat="false" ht="15" hidden="false" customHeight="false" outlineLevel="0" collapsed="false">
      <c r="E23" s="20" t="n">
        <v>3500</v>
      </c>
      <c r="F23" s="17" t="n">
        <f aca="false">(2*PI()*mE*kB*E23/hP^2)^1.5*EXP(-13.598*eV/(kB*E23))/($B$7/(kB*E23))/(1+(2*PI()*mE*kB*E23/hP^2)^1.5*EXP(-13.598*eV/(kB*E23))/($B$7/(kB*E23)))</f>
        <v>3.17559647456769E-014</v>
      </c>
      <c r="G23" s="17" t="n">
        <f aca="false">100000*(4*EXP(-10.199*eV/(kB*E23)))/(1+4*EXP(-10.199*eV/(kB*E23)))/(1+(2*PI()*mE*kB*E23/hP^2)^1.5*EXP(-13.598*eV/(kB*E23))/($B$7/(kB*E23)))</f>
        <v>8.24415900195693E-010</v>
      </c>
    </row>
    <row r="24" customFormat="false" ht="15" hidden="false" customHeight="false" outlineLevel="0" collapsed="false">
      <c r="E24" s="20" t="n">
        <v>3600</v>
      </c>
      <c r="F24" s="17" t="n">
        <f aca="false">(2*PI()*mE*kB*E24/hP^2)^1.5*EXP(-13.598*eV/(kB*E24))/($B$7/(kB*E24))/(1+(2*PI()*mE*kB*E24/hP^2)^1.5*EXP(-13.598*eV/(kB*E24))/($B$7/(kB*E24)))</f>
        <v>1.19208579741963E-013</v>
      </c>
      <c r="G24" s="17" t="n">
        <f aca="false">100000*(4*EXP(-10.199*eV/(kB*E24)))/(1+4*EXP(-10.199*eV/(kB*E24)))/(1+(2*PI()*mE*kB*E24/hP^2)^1.5*EXP(-13.598*eV/(kB*E24))/($B$7/(kB*E24)))</f>
        <v>2.10905742407946E-009</v>
      </c>
    </row>
    <row r="25" customFormat="false" ht="15" hidden="false" customHeight="false" outlineLevel="0" collapsed="false">
      <c r="E25" s="20" t="n">
        <v>3700</v>
      </c>
      <c r="F25" s="17" t="n">
        <f aca="false">(2*PI()*mE*kB*E25/hP^2)^1.5*EXP(-13.598*eV/(kB*E25))/($B$7/(kB*E25))/(1+(2*PI()*mE*kB*E25/hP^2)^1.5*EXP(-13.598*eV/(kB*E25))/($B$7/(kB*E25)))</f>
        <v>4.17399425093364E-013</v>
      </c>
      <c r="G25" s="17" t="n">
        <f aca="false">100000*(4*EXP(-10.199*eV/(kB*E25)))/(1+4*EXP(-10.199*eV/(kB*E25)))/(1+(2*PI()*mE*kB*E25/hP^2)^1.5*EXP(-13.598*eV/(kB*E25))/($B$7/(kB*E25)))</f>
        <v>5.1283720969608E-009</v>
      </c>
    </row>
    <row r="26" customFormat="false" ht="15" hidden="false" customHeight="false" outlineLevel="0" collapsed="false">
      <c r="E26" s="20" t="n">
        <v>3800</v>
      </c>
      <c r="F26" s="17" t="n">
        <f aca="false">(2*PI()*mE*kB*E26/hP^2)^1.5*EXP(-13.598*eV/(kB*E26))/($B$7/(kB*E26))/(1+(2*PI()*mE*kB*E26/hP^2)^1.5*EXP(-13.598*eV/(kB*E26))/($B$7/(kB*E26)))</f>
        <v>1.37064204909697E-012</v>
      </c>
      <c r="G26" s="17" t="n">
        <f aca="false">100000*(4*EXP(-10.199*eV/(kB*E26)))/(1+4*EXP(-10.199*eV/(kB*E26)))/(1+(2*PI()*mE*kB*E26/hP^2)^1.5*EXP(-13.598*eV/(kB*E26))/($B$7/(kB*E26)))</f>
        <v>1.1900373532449E-008</v>
      </c>
    </row>
    <row r="27" customFormat="false" ht="15" hidden="false" customHeight="false" outlineLevel="0" collapsed="false">
      <c r="E27" s="20" t="n">
        <v>3900</v>
      </c>
      <c r="F27" s="17" t="n">
        <f aca="false">(2*PI()*mE*kB*E27/hP^2)^1.5*EXP(-13.598*eV/(kB*E27))/($B$7/(kB*E27))/(1+(2*PI()*mE*kB*E27/hP^2)^1.5*EXP(-13.598*eV/(kB*E27))/($B$7/(kB*E27)))</f>
        <v>4.24178185464486E-012</v>
      </c>
      <c r="G27" s="17" t="n">
        <f aca="false">100000*(4*EXP(-10.199*eV/(kB*E27)))/(1+4*EXP(-10.199*eV/(kB*E27)))/(1+(2*PI()*mE*kB*E27/hP^2)^1.5*EXP(-13.598*eV/(kB*E27))/($B$7/(kB*E27)))</f>
        <v>2.64480654685706E-008</v>
      </c>
    </row>
    <row r="28" customFormat="false" ht="15" hidden="false" customHeight="false" outlineLevel="0" collapsed="false">
      <c r="E28" s="20" t="n">
        <v>4000</v>
      </c>
      <c r="F28" s="17" t="n">
        <f aca="false">(2*PI()*mE*kB*E28/hP^2)^1.5*EXP(-13.598*eV/(kB*E28))/($B$7/(kB*E28))/(1+(2*PI()*mE*kB*E28/hP^2)^1.5*EXP(-13.598*eV/(kB*E28))/($B$7/(kB*E28)))</f>
        <v>1.2426174722476E-011</v>
      </c>
      <c r="G28" s="17" t="n">
        <f aca="false">100000*(4*EXP(-10.199*eV/(kB*E28)))/(1+4*EXP(-10.199*eV/(kB*E28)))/(1+(2*PI()*mE*kB*E28/hP^2)^1.5*EXP(-13.598*eV/(kB*E28))/($B$7/(kB*E28)))</f>
        <v>5.64788133346951E-008</v>
      </c>
    </row>
    <row r="29" customFormat="false" ht="15" hidden="false" customHeight="false" outlineLevel="0" collapsed="false">
      <c r="E29" s="20" t="n">
        <v>4100</v>
      </c>
      <c r="F29" s="17" t="n">
        <f aca="false">(2*PI()*mE*kB*E29/hP^2)^1.5*EXP(-13.598*eV/(kB*E29))/($B$7/(kB*E29))/(1+(2*PI()*mE*kB*E29/hP^2)^1.5*EXP(-13.598*eV/(kB*E29))/($B$7/(kB*E29)))</f>
        <v>3.45954101461516E-011</v>
      </c>
      <c r="G29" s="17" t="n">
        <f aca="false">100000*(4*EXP(-10.199*eV/(kB*E29)))/(1+4*EXP(-10.199*eV/(kB*E29)))/(1+(2*PI()*mE*kB*E29/hP^2)^1.5*EXP(-13.598*eV/(kB*E29))/($B$7/(kB*E29)))</f>
        <v>1.16226310502365E-007</v>
      </c>
    </row>
    <row r="30" customFormat="false" ht="15" hidden="false" customHeight="false" outlineLevel="0" collapsed="false">
      <c r="E30" s="20" t="n">
        <v>4200</v>
      </c>
      <c r="F30" s="17" t="n">
        <f aca="false">(2*PI()*mE*kB*E30/hP^2)^1.5*EXP(-13.598*eV/(kB*E30))/($B$7/(kB*E30))/(1+(2*PI()*mE*kB*E30/hP^2)^1.5*EXP(-13.598*eV/(kB*E30))/($B$7/(kB*E30)))</f>
        <v>9.18659976862405E-011</v>
      </c>
      <c r="G30" s="17" t="n">
        <f aca="false">100000*(4*EXP(-10.199*eV/(kB*E30)))/(1+4*EXP(-10.199*eV/(kB*E30)))/(1+(2*PI()*mE*kB*E30/hP^2)^1.5*EXP(-13.598*eV/(kB*E30))/($B$7/(kB*E30)))</f>
        <v>2.31099300653457E-007</v>
      </c>
    </row>
    <row r="31" customFormat="false" ht="15" hidden="false" customHeight="false" outlineLevel="0" collapsed="false">
      <c r="E31" s="20" t="n">
        <v>4300</v>
      </c>
      <c r="F31" s="17" t="n">
        <f aca="false">(2*PI()*mE*kB*E31/hP^2)^1.5*EXP(-13.598*eV/(kB*E31))/($B$7/(kB*E31))/(1+(2*PI()*mE*kB*E31/hP^2)^1.5*EXP(-13.598*eV/(kB*E31))/($B$7/(kB*E31)))</f>
        <v>2.33434518940172E-010</v>
      </c>
      <c r="G31" s="17" t="n">
        <f aca="false">100000*(4*EXP(-10.199*eV/(kB*E31)))/(1+4*EXP(-10.199*eV/(kB*E31)))/(1+(2*PI()*mE*kB*E31/hP^2)^1.5*EXP(-13.598*eV/(kB*E31))/($B$7/(kB*E31)))</f>
        <v>4.45050568847091E-007</v>
      </c>
    </row>
    <row r="32" customFormat="false" ht="15" hidden="false" customHeight="false" outlineLevel="0" collapsed="false">
      <c r="E32" s="20" t="n">
        <v>4400</v>
      </c>
      <c r="F32" s="17" t="n">
        <f aca="false">(2*PI()*mE*kB*E32/hP^2)^1.5*EXP(-13.598*eV/(kB*E32))/($B$7/(kB*E32))/(1+(2*PI()*mE*kB*E32/hP^2)^1.5*EXP(-13.598*eV/(kB*E32))/($B$7/(kB*E32)))</f>
        <v>5.69298066224626E-010</v>
      </c>
      <c r="G32" s="17" t="n">
        <f aca="false">100000*(4*EXP(-10.199*eV/(kB*E32)))/(1+4*EXP(-10.199*eV/(kB*E32)))/(1+(2*PI()*mE*kB*E32/hP^2)^1.5*EXP(-13.598*eV/(kB*E32))/($B$7/(kB*E32)))</f>
        <v>8.31923204936612E-007</v>
      </c>
    </row>
    <row r="33" customFormat="false" ht="15" hidden="false" customHeight="false" outlineLevel="0" collapsed="false">
      <c r="E33" s="20" t="n">
        <v>4500</v>
      </c>
      <c r="F33" s="17" t="n">
        <f aca="false">(2*PI()*mE*kB*E33/hP^2)^1.5*EXP(-13.598*eV/(kB*E33))/($B$7/(kB*E33))/(1+(2*PI()*mE*kB*E33/hP^2)^1.5*EXP(-13.598*eV/(kB*E33))/($B$7/(kB*E33)))</f>
        <v>1.33614926491192E-009</v>
      </c>
      <c r="G33" s="17" t="n">
        <f aca="false">100000*(4*EXP(-10.199*eV/(kB*E33)))/(1+4*EXP(-10.199*eV/(kB*E33)))/(1+(2*PI()*mE*kB*E33/hP^2)^1.5*EXP(-13.598*eV/(kB*E33))/($B$7/(kB*E33)))</f>
        <v>1.51245590330935E-006</v>
      </c>
    </row>
    <row r="34" customFormat="false" ht="15" hidden="false" customHeight="false" outlineLevel="0" collapsed="false">
      <c r="E34" s="20" t="n">
        <v>4600</v>
      </c>
      <c r="F34" s="17" t="n">
        <f aca="false">(2*PI()*mE*kB*E34/hP^2)^1.5*EXP(-13.598*eV/(kB*E34))/($B$7/(kB*E34))/(1+(2*PI()*mE*kB*E34/hP^2)^1.5*EXP(-13.598*eV/(kB*E34))/($B$7/(kB*E34)))</f>
        <v>3.02541836651502E-009</v>
      </c>
      <c r="G34" s="17" t="n">
        <f aca="false">100000*(4*EXP(-10.199*eV/(kB*E34)))/(1+4*EXP(-10.199*eV/(kB*E34)))/(1+(2*PI()*mE*kB*E34/hP^2)^1.5*EXP(-13.598*eV/(kB*E34))/($B$7/(kB*E34)))</f>
        <v>2.67913914524368E-006</v>
      </c>
    </row>
    <row r="35" customFormat="false" ht="15" hidden="false" customHeight="false" outlineLevel="0" collapsed="false">
      <c r="E35" s="20" t="n">
        <v>4700</v>
      </c>
      <c r="F35" s="17" t="n">
        <f aca="false">(2*PI()*mE*kB*E35/hP^2)^1.5*EXP(-13.598*eV/(kB*E35))/($B$7/(kB*E35))/(1+(2*PI()*mE*kB*E35/hP^2)^1.5*EXP(-13.598*eV/(kB*E35))/($B$7/(kB*E35)))</f>
        <v>6.62391432370428E-009</v>
      </c>
      <c r="G35" s="17" t="n">
        <f aca="false">100000*(4*EXP(-10.199*eV/(kB*E35)))/(1+4*EXP(-10.199*eV/(kB*E35)))/(1+(2*PI()*mE*kB*E35/hP^2)^1.5*EXP(-13.598*eV/(kB*E35))/($B$7/(kB*E35)))</f>
        <v>4.63170964453704E-006</v>
      </c>
    </row>
    <row r="36" customFormat="false" ht="15" hidden="false" customHeight="false" outlineLevel="0" collapsed="false">
      <c r="E36" s="20" t="n">
        <v>4800</v>
      </c>
      <c r="F36" s="17" t="n">
        <f aca="false">(2*PI()*mE*kB*E36/hP^2)^1.5*EXP(-13.598*eV/(kB*E36))/($B$7/(kB*E36))/(1+(2*PI()*mE*kB*E36/hP^2)^1.5*EXP(-13.598*eV/(kB*E36))/($B$7/(kB*E36)))</f>
        <v>1.40522183160463E-008</v>
      </c>
      <c r="G36" s="17" t="n">
        <f aca="false">100000*(4*EXP(-10.199*eV/(kB*E36)))/(1+4*EXP(-10.199*eV/(kB*E36)))/(1+(2*PI()*mE*kB*E36/hP^2)^1.5*EXP(-13.598*eV/(kB*E36))/($B$7/(kB*E36)))</f>
        <v>7.82674699435182E-006</v>
      </c>
    </row>
    <row r="37" customFormat="false" ht="15" hidden="false" customHeight="false" outlineLevel="0" collapsed="false">
      <c r="E37" s="20" t="n">
        <v>4900</v>
      </c>
      <c r="F37" s="17" t="n">
        <f aca="false">(2*PI()*mE*kB*E37/hP^2)^1.5*EXP(-13.598*eV/(kB*E37))/($B$7/(kB*E37))/(1+(2*PI()*mE*kB*E37/hP^2)^1.5*EXP(-13.598*eV/(kB*E37))/($B$7/(kB*E37)))</f>
        <v>2.89404232756621E-008</v>
      </c>
      <c r="G37" s="17" t="n">
        <f aca="false">100000*(4*EXP(-10.199*eV/(kB*E37)))/(1+4*EXP(-10.199*eV/(kB*E37)))/(1+(2*PI()*mE*kB*E37/hP^2)^1.5*EXP(-13.598*eV/(kB*E37))/($B$7/(kB*E37)))</f>
        <v>1.29455846861167E-005</v>
      </c>
    </row>
    <row r="38" customFormat="false" ht="15" hidden="false" customHeight="false" outlineLevel="0" collapsed="false">
      <c r="E38" s="20" t="n">
        <v>5000</v>
      </c>
      <c r="F38" s="17" t="n">
        <f aca="false">(2*PI()*mE*kB*E38/hP^2)^1.5*EXP(-13.598*eV/(kB*E38))/($B$7/(kB*E38))/(1+(2*PI()*mE*kB*E38/hP^2)^1.5*EXP(-13.598*eV/(kB*E38))/($B$7/(kB*E38)))</f>
        <v>5.79639070601453E-008</v>
      </c>
      <c r="G38" s="17" t="n">
        <f aca="false">100000*(4*EXP(-10.199*eV/(kB*E38)))/(1+4*EXP(-10.199*eV/(kB*E38)))/(1+(2*PI()*mE*kB*E38/hP^2)^1.5*EXP(-13.598*eV/(kB*E38))/($B$7/(kB*E38)))</f>
        <v>2.09855532717236E-005</v>
      </c>
    </row>
    <row r="39" customFormat="false" ht="15" hidden="false" customHeight="false" outlineLevel="0" collapsed="false">
      <c r="E39" s="20" t="n">
        <v>5100</v>
      </c>
      <c r="F39" s="17" t="n">
        <f aca="false">(2*PI()*mE*kB*E39/hP^2)^1.5*EXP(-13.598*eV/(kB*E39))/($B$7/(kB*E39))/(1+(2*PI()*mE*kB*E39/hP^2)^1.5*EXP(-13.598*eV/(kB*E39))/($B$7/(kB*E39)))</f>
        <v>1.13085441810835E-007</v>
      </c>
      <c r="G39" s="17" t="n">
        <f aca="false">100000*(4*EXP(-10.199*eV/(kB*E39)))/(1+4*EXP(-10.199*eV/(kB*E39)))/(1+(2*PI()*mE*kB*E39/hP^2)^1.5*EXP(-13.598*eV/(kB*E39))/($B$7/(kB*E39)))</f>
        <v>3.33804174198904E-005</v>
      </c>
    </row>
    <row r="40" customFormat="false" ht="15" hidden="false" customHeight="false" outlineLevel="0" collapsed="false">
      <c r="E40" s="20" t="n">
        <v>5200</v>
      </c>
      <c r="F40" s="17" t="n">
        <f aca="false">(2*PI()*mE*kB*E40/hP^2)^1.5*EXP(-13.598*eV/(kB*E40))/($B$7/(kB*E40))/(1+(2*PI()*mE*kB*E40/hP^2)^1.5*EXP(-13.598*eV/(kB*E40))/($B$7/(kB*E40)))</f>
        <v>2.15229466689036E-007</v>
      </c>
      <c r="G40" s="17" t="n">
        <f aca="false">100000*(4*EXP(-10.199*eV/(kB*E40)))/(1+4*EXP(-10.199*eV/(kB*E40)))/(1+(2*PI()*mE*kB*E40/hP^2)^1.5*EXP(-13.598*eV/(kB*E40))/($B$7/(kB*E40)))</f>
        <v>5.2156727883881E-005</v>
      </c>
    </row>
    <row r="41" customFormat="false" ht="15" hidden="false" customHeight="false" outlineLevel="0" collapsed="false">
      <c r="E41" s="20" t="n">
        <v>5300</v>
      </c>
      <c r="F41" s="17" t="n">
        <f aca="false">(2*PI()*mE*kB*E41/hP^2)^1.5*EXP(-13.598*eV/(kB*E41))/($B$7/(kB*E41))/(1+(2*PI()*mE*kB*E41/hP^2)^1.5*EXP(-13.598*eV/(kB*E41))/($B$7/(kB*E41)))</f>
        <v>4.00169254334847E-007</v>
      </c>
      <c r="G41" s="17" t="n">
        <f aca="false">100000*(4*EXP(-10.199*eV/(kB*E41)))/(1+4*EXP(-10.199*eV/(kB*E41)))/(1+(2*PI()*mE*kB*E41/hP^2)^1.5*EXP(-13.598*eV/(kB*E41))/($B$7/(kB*E41)))</f>
        <v>8.01336575639163E-005</v>
      </c>
    </row>
    <row r="42" customFormat="false" ht="15" hidden="false" customHeight="false" outlineLevel="0" collapsed="false">
      <c r="E42" s="20" t="n">
        <v>5400</v>
      </c>
      <c r="F42" s="17" t="n">
        <f aca="false">(2*PI()*mE*kB*E42/hP^2)^1.5*EXP(-13.598*eV/(kB*E42))/($B$7/(kB*E42))/(1+(2*PI()*mE*kB*E42/hP^2)^1.5*EXP(-13.598*eV/(kB*E42))/($B$7/(kB*E42)))</f>
        <v>7.27762037540647E-007</v>
      </c>
      <c r="G42" s="17" t="n">
        <f aca="false">100000*(4*EXP(-10.199*eV/(kB*E42)))/(1+4*EXP(-10.199*eV/(kB*E42)))/(1+(2*PI()*mE*kB*E42/hP^2)^1.5*EXP(-13.598*eV/(kB*E42))/($B$7/(kB*E42)))</f>
        <v>0.000121174699181075</v>
      </c>
    </row>
    <row r="43" customFormat="false" ht="15" hidden="false" customHeight="false" outlineLevel="0" collapsed="false">
      <c r="E43" s="20" t="n">
        <v>5500</v>
      </c>
      <c r="F43" s="17" t="n">
        <f aca="false">(2*PI()*mE*kB*E43/hP^2)^1.5*EXP(-13.598*eV/(kB*E43))/($B$7/(kB*E43))/(1+(2*PI()*mE*kB*E43/hP^2)^1.5*EXP(-13.598*eV/(kB*E43))/($B$7/(kB*E43)))</f>
        <v>1.29614998349819E-006</v>
      </c>
      <c r="G43" s="17" t="n">
        <f aca="false">100000*(4*EXP(-10.199*eV/(kB*E43)))/(1+4*EXP(-10.199*eV/(kB*E43)))/(1+(2*PI()*mE*kB*E43/hP^2)^1.5*EXP(-13.598*eV/(kB*E43))/($B$7/(kB*E43)))</f>
        <v>0.000180500340459477</v>
      </c>
    </row>
    <row r="44" customFormat="false" ht="15" hidden="false" customHeight="false" outlineLevel="0" collapsed="false">
      <c r="E44" s="20" t="n">
        <v>5600</v>
      </c>
      <c r="F44" s="17" t="n">
        <f aca="false">(2*PI()*mE*kB*E44/hP^2)^1.5*EXP(-13.598*eV/(kB*E44))/($B$7/(kB*E44))/(1+(2*PI()*mE*kB*E44/hP^2)^1.5*EXP(-13.598*eV/(kB*E44))/($B$7/(kB*E44)))</f>
        <v>2.26319052765931E-006</v>
      </c>
      <c r="G44" s="17" t="n">
        <f aca="false">100000*(4*EXP(-10.199*eV/(kB*E44)))/(1+4*EXP(-10.199*eV/(kB*E44)))/(1+(2*PI()*mE*kB*E44/hP^2)^1.5*EXP(-13.598*eV/(kB*E44))/($B$7/(kB*E44)))</f>
        <v>0.000265071470424132</v>
      </c>
    </row>
    <row r="45" customFormat="false" ht="15" hidden="false" customHeight="false" outlineLevel="0" collapsed="false">
      <c r="E45" s="20" t="n">
        <v>5700</v>
      </c>
      <c r="F45" s="17" t="n">
        <f aca="false">(2*PI()*mE*kB*E45/hP^2)^1.5*EXP(-13.598*eV/(kB*E45))/($B$7/(kB*E45))/(1+(2*PI()*mE*kB*E45/hP^2)^1.5*EXP(-13.598*eV/(kB*E45))/($B$7/(kB*E45)))</f>
        <v>3.87822767198669E-006</v>
      </c>
      <c r="G45" s="17" t="n">
        <f aca="false">100000*(4*EXP(-10.199*eV/(kB*E45)))/(1+4*EXP(-10.199*eV/(kB*E45)))/(1+(2*PI()*mE*kB*E45/hP^2)^1.5*EXP(-13.598*eV/(kB*E45))/($B$7/(kB*E45)))</f>
        <v>0.000384053776554319</v>
      </c>
    </row>
    <row r="46" customFormat="false" ht="15" hidden="false" customHeight="false" outlineLevel="0" collapsed="false">
      <c r="E46" s="20" t="n">
        <v>5800</v>
      </c>
      <c r="F46" s="17" t="n">
        <f aca="false">(2*PI()*mE*kB*E46/hP^2)^1.5*EXP(-13.598*eV/(kB*E46))/($B$7/(kB*E46))/(1+(2*PI()*mE*kB*E46/hP^2)^1.5*EXP(-13.598*eV/(kB*E46))/($B$7/(kB*E46)))</f>
        <v>6.52841124921629E-006</v>
      </c>
      <c r="G46" s="17" t="n">
        <f aca="false">100000*(4*EXP(-10.199*eV/(kB*E46)))/(1+4*EXP(-10.199*eV/(kB*E46)))/(1+(2*PI()*mE*kB*E46/hP^2)^1.5*EXP(-13.598*eV/(kB*E46))/($B$7/(kB*E46)))</f>
        <v>0.000549373735691116</v>
      </c>
    </row>
    <row r="47" customFormat="false" ht="15" hidden="false" customHeight="false" outlineLevel="0" collapsed="false">
      <c r="E47" s="20" t="n">
        <v>5900</v>
      </c>
      <c r="F47" s="17" t="n">
        <f aca="false">(2*PI()*mE*kB*E47/hP^2)^1.5*EXP(-13.598*eV/(kB*E47))/($B$7/(kB*E47))/(1+(2*PI()*mE*kB*E47/hP^2)^1.5*EXP(-13.598*eV/(kB*E47))/($B$7/(kB*E47)))</f>
        <v>1.08051633640074E-005</v>
      </c>
      <c r="G47" s="17" t="n">
        <f aca="false">100000*(4*EXP(-10.199*eV/(kB*E47)))/(1+4*EXP(-10.199*eV/(kB*E47)))/(1+(2*PI()*mE*kB*E47/hP^2)^1.5*EXP(-13.598*eV/(kB*E47))/($B$7/(kB*E47)))</f>
        <v>0.00077637694849681</v>
      </c>
    </row>
    <row r="48" customFormat="false" ht="15" hidden="false" customHeight="false" outlineLevel="0" collapsed="false">
      <c r="E48" s="20" t="n">
        <v>6000</v>
      </c>
      <c r="F48" s="17" t="n">
        <f aca="false">(2*PI()*mE*kB*E48/hP^2)^1.5*EXP(-13.598*eV/(kB*E48))/($B$7/(kB*E48))/(1+(2*PI()*mE*kB*E48/hP^2)^1.5*EXP(-13.598*eV/(kB*E48))/($B$7/(kB*E48)))</f>
        <v>1.75981334894098E-005</v>
      </c>
      <c r="G48" s="17" t="n">
        <f aca="false">100000*(4*EXP(-10.199*eV/(kB*E48)))/(1+4*EXP(-10.199*eV/(kB*E48)))/(1+(2*PI()*mE*kB*E48/hP^2)^1.5*EXP(-13.598*eV/(kB*E48))/($B$7/(kB*E48)))</f>
        <v>0.00108459947964306</v>
      </c>
    </row>
    <row r="49" customFormat="false" ht="15" hidden="false" customHeight="false" outlineLevel="0" collapsed="false">
      <c r="E49" s="20" t="n">
        <v>6100</v>
      </c>
      <c r="F49" s="17" t="n">
        <f aca="false">(2*PI()*mE*kB*E49/hP^2)^1.5*EXP(-13.598*eV/(kB*E49))/($B$7/(kB*E49))/(1+(2*PI()*mE*kB*E49/hP^2)^1.5*EXP(-13.598*eV/(kB*E49))/($B$7/(kB*E49)))</f>
        <v>2.82261314631688E-005</v>
      </c>
      <c r="G49" s="17" t="n">
        <f aca="false">100000*(4*EXP(-10.199*eV/(kB*E49)))/(1+4*EXP(-10.199*eV/(kB*E49)))/(1+(2*PI()*mE*kB*E49/hP^2)^1.5*EXP(-13.598*eV/(kB*E49))/($B$7/(kB*E49)))</f>
        <v>0.00149866249499046</v>
      </c>
    </row>
    <row r="50" customFormat="false" ht="15" hidden="false" customHeight="false" outlineLevel="0" collapsed="false">
      <c r="E50" s="20" t="n">
        <v>6200</v>
      </c>
      <c r="F50" s="17" t="n">
        <f aca="false">(2*PI()*mE*kB*E50/hP^2)^1.5*EXP(-13.598*eV/(kB*E50))/($B$7/(kB*E50))/(1+(2*PI()*mE*kB*E50/hP^2)^1.5*EXP(-13.598*eV/(kB*E50))/($B$7/(kB*E50)))</f>
        <v>4.461713608639E-005</v>
      </c>
      <c r="G50" s="17" t="n">
        <f aca="false">100000*(4*EXP(-10.199*eV/(kB*E50)))/(1+4*EXP(-10.199*eV/(kB*E50)))/(1+(2*PI()*mE*kB*E50/hP^2)^1.5*EXP(-13.598*eV/(kB*E50))/($B$7/(kB*E50)))</f>
        <v>0.00204929976448058</v>
      </c>
    </row>
    <row r="51" customFormat="false" ht="15" hidden="false" customHeight="false" outlineLevel="0" collapsed="false">
      <c r="E51" s="20" t="n">
        <v>6300</v>
      </c>
      <c r="F51" s="17" t="n">
        <f aca="false">(2*PI()*mE*kB*E51/hP^2)^1.5*EXP(-13.598*eV/(kB*E51))/($B$7/(kB*E51))/(1+(2*PI()*mE*kB*E51/hP^2)^1.5*EXP(-13.598*eV/(kB*E51))/($B$7/(kB*E51)))</f>
        <v>6.95525972982486E-005</v>
      </c>
      <c r="G51" s="17" t="n">
        <f aca="false">100000*(4*EXP(-10.199*eV/(kB*E51)))/(1+4*EXP(-10.199*eV/(kB*E51)))/(1+(2*PI()*mE*kB*E51/hP^2)^1.5*EXP(-13.598*eV/(kB*E51))/($B$7/(kB*E51)))</f>
        <v>0.00277452642345908</v>
      </c>
    </row>
    <row r="52" customFormat="false" ht="15" hidden="false" customHeight="false" outlineLevel="0" collapsed="false">
      <c r="E52" s="20" t="n">
        <v>6400</v>
      </c>
      <c r="F52" s="17" t="n">
        <f aca="false">(2*PI()*mE*kB*E52/hP^2)^1.5*EXP(-13.598*eV/(kB*E52))/($B$7/(kB*E52))/(1+(2*PI()*mE*kB*E52/hP^2)^1.5*EXP(-13.598*eV/(kB*E52))/($B$7/(kB*E52)))</f>
        <v>0.000106994923020083</v>
      </c>
      <c r="G52" s="17" t="n">
        <f aca="false">100000*(4*EXP(-10.199*eV/(kB*E52)))/(1+4*EXP(-10.199*eV/(kB*E52)))/(1+(2*PI()*mE*kB*E52/hP^2)^1.5*EXP(-13.598*eV/(kB*E52))/($B$7/(kB*E52)))</f>
        <v>0.00372095559974087</v>
      </c>
    </row>
    <row r="53" customFormat="false" ht="15" hidden="false" customHeight="false" outlineLevel="0" collapsed="false">
      <c r="E53" s="20" t="n">
        <v>6500</v>
      </c>
      <c r="F53" s="17" t="n">
        <f aca="false">(2*PI()*mE*kB*E53/hP^2)^1.5*EXP(-13.598*eV/(kB*E53))/($B$7/(kB*E53))/(1+(2*PI()*mE*kB*E53/hP^2)^1.5*EXP(-13.598*eV/(kB*E53))/($B$7/(kB*E53)))</f>
        <v>0.000162521289177867</v>
      </c>
      <c r="G53" s="17" t="n">
        <f aca="false">100000*(4*EXP(-10.199*eV/(kB*E53)))/(1+4*EXP(-10.199*eV/(kB*E53)))/(1+(2*PI()*mE*kB*E53/hP^2)^1.5*EXP(-13.598*eV/(kB*E53))/($B$7/(kB*E53)))</f>
        <v>0.00494526687939402</v>
      </c>
    </row>
    <row r="54" customFormat="false" ht="15" hidden="false" customHeight="false" outlineLevel="0" collapsed="false">
      <c r="E54" s="20" t="n">
        <v>6600</v>
      </c>
      <c r="F54" s="17" t="n">
        <f aca="false">(2*PI()*mE*kB*E54/hP^2)^1.5*EXP(-13.598*eV/(kB*E54))/($B$7/(kB*E54))/(1+(2*PI()*mE*kB*E54/hP^2)^1.5*EXP(-13.598*eV/(kB*E54))/($B$7/(kB*E54)))</f>
        <v>0.000243891719954243</v>
      </c>
      <c r="G54" s="17" t="n">
        <f aca="false">100000*(4*EXP(-10.199*eV/(kB*E54)))/(1+4*EXP(-10.199*eV/(kB*E54)))/(1+(2*PI()*mE*kB*E54/hP^2)^1.5*EXP(-13.598*eV/(kB*E54))/($B$7/(kB*E54)))</f>
        <v>0.00651582673700363</v>
      </c>
    </row>
    <row r="55" customFormat="false" ht="15" hidden="false" customHeight="false" outlineLevel="0" collapsed="false">
      <c r="E55" s="20" t="n">
        <v>6700</v>
      </c>
      <c r="F55" s="17" t="n">
        <f aca="false">(2*PI()*mE*kB*E55/hP^2)^1.5*EXP(-13.598*eV/(kB*E55))/($B$7/(kB*E55))/(1+(2*PI()*mE*kB*E55/hP^2)^1.5*EXP(-13.598*eV/(kB*E55))/($B$7/(kB*E55)))</f>
        <v>0.000361784683547003</v>
      </c>
      <c r="G55" s="17" t="n">
        <f aca="false">100000*(4*EXP(-10.199*eV/(kB*E55)))/(1+4*EXP(-10.199*eV/(kB*E55)))/(1+(2*PI()*mE*kB*E55/hP^2)^1.5*EXP(-13.598*eV/(kB*E55))/($B$7/(kB*E55)))</f>
        <v>0.00851445545277695</v>
      </c>
    </row>
    <row r="56" customFormat="false" ht="15" hidden="false" customHeight="false" outlineLevel="0" collapsed="false">
      <c r="E56" s="20" t="n">
        <v>6800</v>
      </c>
      <c r="F56" s="17" t="n">
        <f aca="false">(2*PI()*mE*kB*E56/hP^2)^1.5*EXP(-13.598*eV/(kB*E56))/($B$7/(kB*E56))/(1+(2*PI()*mE*kB*E56/hP^2)^1.5*EXP(-13.598*eV/(kB*E56))/($B$7/(kB*E56)))</f>
        <v>0.000530739070067249</v>
      </c>
      <c r="G56" s="17" t="n">
        <f aca="false">100000*(4*EXP(-10.199*eV/(kB*E56)))/(1+4*EXP(-10.199*eV/(kB*E56)))/(1+(2*PI()*mE*kB*E56/hP^2)^1.5*EXP(-13.598*eV/(kB*E56))/($B$7/(kB*E56)))</f>
        <v>0.0110383268853711</v>
      </c>
    </row>
    <row r="57" customFormat="false" ht="15" hidden="false" customHeight="false" outlineLevel="0" collapsed="false">
      <c r="E57" s="20" t="n">
        <v>6900</v>
      </c>
      <c r="F57" s="17" t="n">
        <f aca="false">(2*PI()*mE*kB*E57/hP^2)^1.5*EXP(-13.598*eV/(kB*E57))/($B$7/(kB*E57))/(1+(2*PI()*mE*kB*E57/hP^2)^1.5*EXP(-13.598*eV/(kB*E57))/($B$7/(kB*E57)))</f>
        <v>0.000770347044596162</v>
      </c>
      <c r="G57" s="17" t="n">
        <f aca="false">100000*(4*EXP(-10.199*eV/(kB*E57)))/(1+4*EXP(-10.199*eV/(kB*E57)))/(1+(2*PI()*mE*kB*E57/hP^2)^1.5*EXP(-13.598*eV/(kB*E57))/($B$7/(kB*E57)))</f>
        <v>0.0142019756328161</v>
      </c>
    </row>
    <row r="58" customFormat="false" ht="15" hidden="false" customHeight="false" outlineLevel="0" collapsed="false">
      <c r="E58" s="20" t="n">
        <v>7000</v>
      </c>
      <c r="F58" s="17" t="n">
        <f aca="false">(2*PI()*mE*kB*E58/hP^2)^1.5*EXP(-13.598*eV/(kB*E58))/($B$7/(kB*E58))/(1+(2*PI()*mE*kB*E58/hP^2)^1.5*EXP(-13.598*eV/(kB*E58))/($B$7/(kB*E58)))</f>
        <v>0.00110674734553064</v>
      </c>
      <c r="G58" s="17" t="n">
        <f aca="false">100000*(4*EXP(-10.199*eV/(kB*E58)))/(1+4*EXP(-10.199*eV/(kB*E58)))/(1+(2*PI()*mE*kB*E58/hP^2)^1.5*EXP(-13.598*eV/(kB*E58))/($B$7/(kB*E58)))</f>
        <v>0.0181393690192278</v>
      </c>
    </row>
    <row r="59" customFormat="false" ht="15" hidden="false" customHeight="false" outlineLevel="0" collapsed="false">
      <c r="E59" s="20" t="n">
        <v>7100</v>
      </c>
      <c r="F59" s="17" t="n">
        <f aca="false">(2*PI()*mE*kB*E59/hP^2)^1.5*EXP(-13.598*eV/(kB*E59))/($B$7/(kB*E59))/(1+(2*PI()*mE*kB*E59/hP^2)^1.5*EXP(-13.598*eV/(kB*E59))/($B$7/(kB*E59)))</f>
        <v>0.00157447221204374</v>
      </c>
      <c r="G59" s="17" t="n">
        <f aca="false">100000*(4*EXP(-10.199*eV/(kB*E59)))/(1+4*EXP(-10.199*eV/(kB*E59)))/(1+(2*PI()*mE*kB*E59/hP^2)^1.5*EXP(-13.598*eV/(kB*E59))/($B$7/(kB*E59)))</f>
        <v>0.0230059768663051</v>
      </c>
    </row>
    <row r="60" customFormat="false" ht="15" hidden="false" customHeight="false" outlineLevel="0" collapsed="false">
      <c r="E60" s="20" t="n">
        <v>7200</v>
      </c>
      <c r="F60" s="17" t="n">
        <f aca="false">(2*PI()*mE*kB*E60/hP^2)^1.5*EXP(-13.598*eV/(kB*E60))/($B$7/(kB*E60))/(1+(2*PI()*mE*kB*E60/hP^2)^1.5*EXP(-13.598*eV/(kB*E60))/($B$7/(kB*E60)))</f>
        <v>0.00221870182620159</v>
      </c>
      <c r="G60" s="17" t="n">
        <f aca="false">100000*(4*EXP(-10.199*eV/(kB*E60)))/(1+4*EXP(-10.199*eV/(kB*E60)))/(1+(2*PI()*mE*kB*E60/hP^2)^1.5*EXP(-13.598*eV/(kB*E60))/($B$7/(kB*E60)))</f>
        <v>0.0289807373775094</v>
      </c>
    </row>
    <row r="61" customFormat="false" ht="15" hidden="false" customHeight="false" outlineLevel="0" collapsed="false">
      <c r="E61" s="20" t="n">
        <v>7300</v>
      </c>
      <c r="F61" s="17" t="n">
        <f aca="false">(2*PI()*mE*kB*E61/hP^2)^1.5*EXP(-13.598*eV/(kB*E61))/($B$7/(kB*E61))/(1+(2*PI()*mE*kB*E61/hP^2)^1.5*EXP(-13.598*eV/(kB*E61))/($B$7/(kB*E61)))</f>
        <v>0.00309797572616825</v>
      </c>
      <c r="G61" s="17" t="n">
        <f aca="false">100000*(4*EXP(-10.199*eV/(kB*E61)))/(1+4*EXP(-10.199*eV/(kB*E61)))/(1+(2*PI()*mE*kB*E61/hP^2)^1.5*EXP(-13.598*eV/(kB*E61))/($B$7/(kB*E61)))</f>
        <v>0.0362677692374687</v>
      </c>
    </row>
    <row r="62" customFormat="false" ht="15" hidden="false" customHeight="false" outlineLevel="0" collapsed="false">
      <c r="E62" s="20" t="n">
        <v>7400</v>
      </c>
      <c r="F62" s="17" t="n">
        <f aca="false">(2*PI()*mE*kB*E62/hP^2)^1.5*EXP(-13.598*eV/(kB*E62))/($B$7/(kB*E62))/(1+(2*PI()*mE*kB*E62/hP^2)^1.5*EXP(-13.598*eV/(kB*E62))/($B$7/(kB*E62)))</f>
        <v>0.00428739779852575</v>
      </c>
      <c r="G62" s="17" t="n">
        <f aca="false">100000*(4*EXP(-10.199*eV/(kB*E62)))/(1+4*EXP(-10.199*eV/(kB*E62)))/(1+(2*PI()*mE*kB*E62/hP^2)^1.5*EXP(-13.598*eV/(kB*E62))/($B$7/(kB*E62)))</f>
        <v>0.045097614204651</v>
      </c>
    </row>
    <row r="63" customFormat="false" ht="15" hidden="false" customHeight="false" outlineLevel="0" collapsed="false">
      <c r="E63" s="20" t="n">
        <v>7500</v>
      </c>
      <c r="F63" s="17" t="n">
        <f aca="false">(2*PI()*mE*kB*E63/hP^2)^1.5*EXP(-13.598*eV/(kB*E63))/($B$7/(kB*E63))/(1+(2*PI()*mE*kB*E63/hP^2)^1.5*EXP(-13.598*eV/(kB*E63))/($B$7/(kB*E63)))</f>
        <v>0.00588234548788782</v>
      </c>
      <c r="G63" s="17" t="n">
        <f aca="false">100000*(4*EXP(-10.199*eV/(kB*E63)))/(1+4*EXP(-10.199*eV/(kB*E63)))/(1+(2*PI()*mE*kB*E63/hP^2)^1.5*EXP(-13.598*eV/(kB*E63))/($B$7/(kB*E63)))</f>
        <v>0.0557277068725418</v>
      </c>
    </row>
    <row r="64" customFormat="false" ht="15" hidden="false" customHeight="false" outlineLevel="0" collapsed="false">
      <c r="E64" s="20" t="n">
        <v>7600</v>
      </c>
      <c r="F64" s="17" t="n">
        <f aca="false">(2*PI()*mE*kB*E64/hP^2)^1.5*EXP(-13.598*eV/(kB*E64))/($B$7/(kB*E64))/(1+(2*PI()*mE*kB*E64/hP^2)^1.5*EXP(-13.598*eV/(kB*E64))/($B$7/(kB*E64)))</f>
        <v>0.00800264832883104</v>
      </c>
      <c r="G64" s="17" t="n">
        <f aca="false">100000*(4*EXP(-10.199*eV/(kB*E64)))/(1+4*EXP(-10.199*eV/(kB*E64)))/(1+(2*PI()*mE*kB*E64/hP^2)^1.5*EXP(-13.598*eV/(kB*E64))/($B$7/(kB*E64)))</f>
        <v>0.0684416554233758</v>
      </c>
    </row>
    <row r="65" customFormat="false" ht="15" hidden="false" customHeight="false" outlineLevel="0" collapsed="false">
      <c r="E65" s="20" t="n">
        <v>7700</v>
      </c>
      <c r="F65" s="17" t="n">
        <f aca="false">(2*PI()*mE*kB*E65/hP^2)^1.5*EXP(-13.598*eV/(kB*E65))/($B$7/(kB*E65))/(1+(2*PI()*mE*kB*E65/hP^2)^1.5*EXP(-13.598*eV/(kB*E65))/($B$7/(kB*E65)))</f>
        <v>0.0107971274636453</v>
      </c>
      <c r="G65" s="17" t="n">
        <f aca="false">100000*(4*EXP(-10.199*eV/(kB*E65)))/(1+4*EXP(-10.199*eV/(kB*E65)))/(1+(2*PI()*mE*kB*E65/hP^2)^1.5*EXP(-13.598*eV/(kB*E65))/($B$7/(kB*E65)))</f>
        <v>0.0835467780326956</v>
      </c>
    </row>
    <row r="66" customFormat="false" ht="15" hidden="false" customHeight="false" outlineLevel="0" collapsed="false">
      <c r="E66" s="20" t="n">
        <v>7800</v>
      </c>
      <c r="F66" s="17" t="n">
        <f aca="false">(2*PI()*mE*kB*E66/hP^2)^1.5*EXP(-13.598*eV/(kB*E66))/($B$7/(kB*E66))/(1+(2*PI()*mE*kB*E66/hP^2)^1.5*EXP(-13.598*eV/(kB*E66))/($B$7/(kB*E66)))</f>
        <v>0.0144482764914328</v>
      </c>
      <c r="G66" s="17" t="n">
        <f aca="false">100000*(4*EXP(-10.199*eV/(kB*E66)))/(1+4*EXP(-10.199*eV/(kB*E66)))/(1+(2*PI()*mE*kB*E66/hP^2)^1.5*EXP(-13.598*eV/(kB*E66))/($B$7/(kB*E66)))</f>
        <v>0.101369178358832</v>
      </c>
    </row>
    <row r="67" customFormat="false" ht="15" hidden="false" customHeight="false" outlineLevel="0" collapsed="false">
      <c r="E67" s="20" t="n">
        <v>7900</v>
      </c>
      <c r="F67" s="17" t="n">
        <f aca="false">(2*PI()*mE*kB*E67/hP^2)^1.5*EXP(-13.598*eV/(kB*E67))/($B$7/(kB*E67))/(1+(2*PI()*mE*kB*E67/hP^2)^1.5*EXP(-13.598*eV/(kB*E67))/($B$7/(kB*E67)))</f>
        <v>0.019176704417004</v>
      </c>
      <c r="G67" s="17" t="n">
        <f aca="false">100000*(4*EXP(-10.199*eV/(kB*E67)))/(1+4*EXP(-10.199*eV/(kB*E67)))/(1+(2*PI()*mE*kB*E67/hP^2)^1.5*EXP(-13.598*eV/(kB*E67))/($B$7/(kB*E67)))</f>
        <v>0.122245474429952</v>
      </c>
    </row>
    <row r="68" customFormat="false" ht="15" hidden="false" customHeight="false" outlineLevel="0" collapsed="false">
      <c r="E68" s="20" t="n">
        <v>8000</v>
      </c>
      <c r="F68" s="17" t="n">
        <f aca="false">(2*PI()*mE*kB*E68/hP^2)^1.5*EXP(-13.598*eV/(kB*E68))/($B$7/(kB*E68))/(1+(2*PI()*mE*kB*E68/hP^2)^1.5*EXP(-13.598*eV/(kB*E68))/($B$7/(kB*E68)))</f>
        <v>0.0252447457110301</v>
      </c>
      <c r="G68" s="17" t="n">
        <f aca="false">100000*(4*EXP(-10.199*eV/(kB*E68)))/(1+4*EXP(-10.199*eV/(kB*E68)))/(1+(2*PI()*mE*kB*E68/hP^2)^1.5*EXP(-13.598*eV/(kB*E68))/($B$7/(kB*E68)))</f>
        <v>0.146510148790325</v>
      </c>
    </row>
    <row r="69" customFormat="false" ht="15" hidden="false" customHeight="false" outlineLevel="0" collapsed="false">
      <c r="E69" s="20" t="n">
        <v>8100</v>
      </c>
      <c r="F69" s="17" t="n">
        <f aca="false">(2*PI()*mE*kB*E69/hP^2)^1.5*EXP(-13.598*eV/(kB*E69))/($B$7/(kB*E69))/(1+(2*PI()*mE*kB*E69/hP^2)^1.5*EXP(-13.598*eV/(kB*E69))/($B$7/(kB*E69)))</f>
        <v>0.0329583706028187</v>
      </c>
      <c r="G69" s="17" t="n">
        <f aca="false">100000*(4*EXP(-10.199*eV/(kB*E69)))/(1+4*EXP(-10.199*eV/(kB*E69)))/(1+(2*PI()*mE*kB*E69/hP^2)^1.5*EXP(-13.598*eV/(kB*E69))/($B$7/(kB*E69)))</f>
        <v>0.174477418986355</v>
      </c>
    </row>
    <row r="70" customFormat="false" ht="15" hidden="false" customHeight="false" outlineLevel="0" collapsed="false">
      <c r="E70" s="20" t="n">
        <v>8200</v>
      </c>
      <c r="F70" s="17" t="n">
        <f aca="false">(2*PI()*mE*kB*E70/hP^2)^1.5*EXP(-13.598*eV/(kB*E70))/($B$7/(kB*E70))/(1+(2*PI()*mE*kB*E70/hP^2)^1.5*EXP(-13.598*eV/(kB*E70))/($B$7/(kB*E70)))</f>
        <v>0.0426662177747187</v>
      </c>
      <c r="G70" s="17" t="n">
        <f aca="false">100000*(4*EXP(-10.199*eV/(kB*E70)))/(1+4*EXP(-10.199*eV/(kB*E70)))/(1+(2*PI()*mE*kB*E70/hP^2)^1.5*EXP(-13.598*eV/(kB*E70))/($B$7/(kB*E70)))</f>
        <v>0.206416623455614</v>
      </c>
    </row>
    <row r="71" customFormat="false" ht="15" hidden="false" customHeight="false" outlineLevel="0" collapsed="false">
      <c r="E71" s="20" t="n">
        <v>8300</v>
      </c>
      <c r="F71" s="17" t="n">
        <f aca="false">(2*PI()*mE*kB*E71/hP^2)^1.5*EXP(-13.598*eV/(kB*E71))/($B$7/(kB*E71))/(1+(2*PI()*mE*kB*E71/hP^2)^1.5*EXP(-13.598*eV/(kB*E71))/($B$7/(kB*E71)))</f>
        <v>0.054754268480564</v>
      </c>
      <c r="G71" s="17" t="n">
        <f aca="false">100000*(4*EXP(-10.199*eV/(kB*E71)))/(1+4*EXP(-10.199*eV/(kB*E71)))/(1+(2*PI()*mE*kB*E71/hP^2)^1.5*EXP(-13.598*eV/(kB*E71))/($B$7/(kB*E71)))</f>
        <v>0.242520500529927</v>
      </c>
    </row>
    <row r="72" customFormat="false" ht="15" hidden="false" customHeight="false" outlineLevel="0" collapsed="false">
      <c r="E72" s="20" t="n">
        <v>8400</v>
      </c>
      <c r="F72" s="17" t="n">
        <f aca="false">(2*PI()*mE*kB*E72/hP^2)^1.5*EXP(-13.598*eV/(kB*E72))/($B$7/(kB*E72))/(1+(2*PI()*mE*kB*E72/hP^2)^1.5*EXP(-13.598*eV/(kB*E72))/($B$7/(kB*E72)))</f>
        <v>0.0696344769248795</v>
      </c>
      <c r="G72" s="17" t="n">
        <f aca="false">100000*(4*EXP(-10.199*eV/(kB*E72)))/(1+4*EXP(-10.199*eV/(kB*E72)))/(1+(2*PI()*mE*kB*E72/hP^2)^1.5*EXP(-13.598*eV/(kB*E72))/($B$7/(kB*E72)))</f>
        <v>0.282866553571738</v>
      </c>
    </row>
    <row r="73" customFormat="false" ht="15" hidden="false" customHeight="false" outlineLevel="0" collapsed="false">
      <c r="E73" s="20" t="n">
        <v>8500</v>
      </c>
      <c r="F73" s="17" t="n">
        <f aca="false">(2*PI()*mE*kB*E73/hP^2)^1.5*EXP(-13.598*eV/(kB*E73))/($B$7/(kB*E73))/(1+(2*PI()*mE*kB*E73/hP^2)^1.5*EXP(-13.598*eV/(kB*E73))/($B$7/(kB*E73)))</f>
        <v>0.087725711897753</v>
      </c>
      <c r="G73" s="17" t="n">
        <f aca="false">100000*(4*EXP(-10.199*eV/(kB*E73)))/(1+4*EXP(-10.199*eV/(kB*E73)))/(1+(2*PI()*mE*kB*E73/hP^2)^1.5*EXP(-13.598*eV/(kB*E73))/($B$7/(kB*E73)))</f>
        <v>0.327373076886654</v>
      </c>
    </row>
    <row r="74" customFormat="false" ht="15" hidden="false" customHeight="false" outlineLevel="0" collapsed="false">
      <c r="E74" s="20" t="n">
        <v>8600</v>
      </c>
      <c r="F74" s="17" t="n">
        <f aca="false">(2*PI()*mE*kB*E74/hP^2)^1.5*EXP(-13.598*eV/(kB*E74))/($B$7/(kB*E74))/(1+(2*PI()*mE*kB*E74/hP^2)^1.5*EXP(-13.598*eV/(kB*E74))/($B$7/(kB*E74)))</f>
        <v>0.109425841679407</v>
      </c>
      <c r="G74" s="17" t="n">
        <f aca="false">100000*(4*EXP(-10.199*eV/(kB*E74)))/(1+4*EXP(-10.199*eV/(kB*E74)))/(1+(2*PI()*mE*kB*E74/hP^2)^1.5*EXP(-13.598*eV/(kB*E74))/($B$7/(kB*E74)))</f>
        <v>0.375753411840418</v>
      </c>
    </row>
    <row r="75" customFormat="false" ht="15" hidden="false" customHeight="false" outlineLevel="0" collapsed="false">
      <c r="E75" s="20" t="n">
        <v>8700</v>
      </c>
      <c r="F75" s="17" t="n">
        <f aca="false">(2*PI()*mE*kB*E75/hP^2)^1.5*EXP(-13.598*eV/(kB*E75))/($B$7/(kB*E75))/(1+(2*PI()*mE*kB*E75/hP^2)^1.5*EXP(-13.598*eV/(kB*E75))/($B$7/(kB*E75)))</f>
        <v>0.135074905572433</v>
      </c>
      <c r="G75" s="17" t="n">
        <f aca="false">100000*(4*EXP(-10.199*eV/(kB*E75)))/(1+4*EXP(-10.199*eV/(kB*E75)))/(1+(2*PI()*mE*kB*E75/hP^2)^1.5*EXP(-13.598*eV/(kB*E75))/($B$7/(kB*E75)))</f>
        <v>0.427474456419793</v>
      </c>
    </row>
    <row r="76" customFormat="false" ht="15" hidden="false" customHeight="false" outlineLevel="0" collapsed="false">
      <c r="E76" s="20" t="n">
        <v>8800</v>
      </c>
      <c r="F76" s="17" t="n">
        <f aca="false">(2*PI()*mE*kB*E76/hP^2)^1.5*EXP(-13.598*eV/(kB*E76))/($B$7/(kB*E76))/(1+(2*PI()*mE*kB*E76/hP^2)^1.5*EXP(-13.598*eV/(kB*E76))/($B$7/(kB*E76)))</f>
        <v>0.164911170088235</v>
      </c>
      <c r="G76" s="17" t="n">
        <f aca="false">100000*(4*EXP(-10.199*eV/(kB*E76)))/(1+4*EXP(-10.199*eV/(kB*E76)))/(1+(2*PI()*mE*kB*E76/hP^2)^1.5*EXP(-13.598*eV/(kB*E76))/($B$7/(kB*E76)))</f>
        <v>0.481727882733449</v>
      </c>
    </row>
    <row r="77" customFormat="false" ht="15" hidden="false" customHeight="false" outlineLevel="0" collapsed="false">
      <c r="E77" s="20" t="n">
        <v>8900</v>
      </c>
      <c r="F77" s="17" t="n">
        <f aca="false">(2*PI()*mE*kB*E77/hP^2)^1.5*EXP(-13.598*eV/(kB*E77))/($B$7/(kB*E77))/(1+(2*PI()*mE*kB*E77/hP^2)^1.5*EXP(-13.598*eV/(kB*E77))/($B$7/(kB*E77)))</f>
        <v>0.199024345596822</v>
      </c>
      <c r="G77" s="17" t="n">
        <f aca="false">100000*(4*EXP(-10.199*eV/(kB*E77)))/(1+4*EXP(-10.199*eV/(kB*E77)))/(1+(2*PI()*mE*kB*E77/hP^2)^1.5*EXP(-13.598*eV/(kB*E77))/($B$7/(kB*E77)))</f>
        <v>0.537424052923827</v>
      </c>
    </row>
    <row r="78" customFormat="false" ht="15" hidden="false" customHeight="false" outlineLevel="0" collapsed="false">
      <c r="E78" s="20" t="n">
        <v>9000</v>
      </c>
      <c r="F78" s="17" t="n">
        <f aca="false">(2*PI()*mE*kB*E78/hP^2)^1.5*EXP(-13.598*eV/(kB*E78))/($B$7/(kB*E78))/(1+(2*PI()*mE*kB*E78/hP^2)^1.5*EXP(-13.598*eV/(kB*E78))/($B$7/(kB*E78)))</f>
        <v>0.23731285159374</v>
      </c>
      <c r="G78" s="17" t="n">
        <f aca="false">100000*(4*EXP(-10.199*eV/(kB*E78)))/(1+4*EXP(-10.199*eV/(kB*E78)))/(1+(2*PI()*mE*kB*E78/hP^2)^1.5*EXP(-13.598*eV/(kB*E78))/($B$7/(kB*E78)))</f>
        <v>0.593218118486988</v>
      </c>
    </row>
    <row r="79" customFormat="false" ht="15" hidden="false" customHeight="false" outlineLevel="0" collapsed="false">
      <c r="E79" s="20" t="n">
        <v>9100</v>
      </c>
      <c r="F79" s="17" t="n">
        <f aca="false">(2*PI()*mE*kB*E79/hP^2)^1.5*EXP(-13.598*eV/(kB*E79))/($B$7/(kB*E79))/(1+(2*PI()*mE*kB*E79/hP^2)^1.5*EXP(-13.598*eV/(kB*E79))/($B$7/(kB*E79)))</f>
        <v>0.279453877209156</v>
      </c>
      <c r="G79" s="17" t="n">
        <f aca="false">100000*(4*EXP(-10.199*eV/(kB*E79)))/(1+4*EXP(-10.199*eV/(kB*E79)))/(1+(2*PI()*mE*kB*E79/hP^2)^1.5*EXP(-13.598*eV/(kB*E79))/($B$7/(kB*E79)))</f>
        <v>0.647574223965197</v>
      </c>
    </row>
    <row r="80" customFormat="false" ht="15" hidden="false" customHeight="false" outlineLevel="0" collapsed="false">
      <c r="E80" s="20" t="n">
        <v>9200</v>
      </c>
      <c r="F80" s="17" t="n">
        <f aca="false">(2*PI()*mE*kB*E80/hP^2)^1.5*EXP(-13.598*eV/(kB*E80))/($B$7/(kB*E80))/(1+(2*PI()*mE*kB*E80/hP^2)^1.5*EXP(-13.598*eV/(kB*E80))/($B$7/(kB*E80)))</f>
        <v>0.324895002504964</v>
      </c>
      <c r="G80" s="17" t="n">
        <f aca="false">100000*(4*EXP(-10.199*eV/(kB*E80)))/(1+4*EXP(-10.199*eV/(kB*E80)))/(1+(2*PI()*mE*kB*E80/hP^2)^1.5*EXP(-13.598*eV/(kB*E80))/($B$7/(kB*E80)))</f>
        <v>0.698866878467033</v>
      </c>
    </row>
    <row r="81" customFormat="false" ht="15" hidden="false" customHeight="false" outlineLevel="0" collapsed="false">
      <c r="E81" s="20" t="n">
        <v>9300</v>
      </c>
      <c r="F81" s="17" t="n">
        <f aca="false">(2*PI()*mE*kB*E81/hP^2)^1.5*EXP(-13.598*eV/(kB*E81))/($B$7/(kB*E81))/(1+(2*PI()*mE*kB*E81/hP^2)^1.5*EXP(-13.598*eV/(kB*E81))/($B$7/(kB*E81)))</f>
        <v>0.372873521676698</v>
      </c>
      <c r="G81" s="17" t="n">
        <f aca="false">100000*(4*EXP(-10.199*eV/(kB*E81)))/(1+4*EXP(-10.199*eV/(kB*E81)))/(1+(2*PI()*mE*kB*E81/hP^2)^1.5*EXP(-13.598*eV/(kB*E81))/($B$7/(kB*E81)))</f>
        <v>0.745509570476349</v>
      </c>
    </row>
    <row r="82" customFormat="false" ht="15" hidden="false" customHeight="false" outlineLevel="0" collapsed="false">
      <c r="E82" s="20" t="n">
        <v>9400</v>
      </c>
      <c r="F82" s="17" t="n">
        <f aca="false">(2*PI()*mE*kB*E82/hP^2)^1.5*EXP(-13.598*eV/(kB*E82))/($B$7/(kB*E82))/(1+(2*PI()*mE*kB*E82/hP^2)^1.5*EXP(-13.598*eV/(kB*E82))/($B$7/(kB*E82)))</f>
        <v>0.422464409804663</v>
      </c>
      <c r="G82" s="17" t="n">
        <f aca="false">100000*(4*EXP(-10.199*eV/(kB*E82)))/(1+4*EXP(-10.199*eV/(kB*E82)))/(1+(2*PI()*mE*kB*E82/hP^2)^1.5*EXP(-13.598*eV/(kB*E82))/($B$7/(kB*E82)))</f>
        <v>0.786092226066832</v>
      </c>
    </row>
    <row r="83" customFormat="false" ht="15" hidden="false" customHeight="false" outlineLevel="0" collapsed="false">
      <c r="E83" s="20" t="n">
        <v>9500</v>
      </c>
      <c r="F83" s="17" t="n">
        <f aca="false">(2*PI()*mE*kB*E83/hP^2)^1.5*EXP(-13.598*eV/(kB*E83))/($B$7/(kB*E83))/(1+(2*PI()*mE*kB*E83/hP^2)^1.5*EXP(-13.598*eV/(kB*E83))/($B$7/(kB*E83)))</f>
        <v>0.472651363838085</v>
      </c>
      <c r="G83" s="17" t="n">
        <f aca="false">100000*(4*EXP(-10.199*eV/(kB*E83)))/(1+4*EXP(-10.199*eV/(kB*E83)))/(1+(2*PI()*mE*kB*E83/hP^2)^1.5*EXP(-13.598*eV/(kB*E83))/($B$7/(kB*E83)))</f>
        <v>0.81950443887841</v>
      </c>
    </row>
    <row r="84" customFormat="false" ht="15" hidden="false" customHeight="false" outlineLevel="0" collapsed="false">
      <c r="E84" s="20" t="n">
        <v>9600</v>
      </c>
      <c r="F84" s="17" t="n">
        <f aca="false">(2*PI()*mE*kB*E84/hP^2)^1.5*EXP(-13.598*eV/(kB*E84))/($B$7/(kB*E84))/(1+(2*PI()*mE*kB*E84/hP^2)^1.5*EXP(-13.598*eV/(kB*E84))/($B$7/(kB*E84)))</f>
        <v>0.522409675730218</v>
      </c>
      <c r="G84" s="17" t="n">
        <f aca="false">100000*(4*EXP(-10.199*eV/(kB*E84)))/(1+4*EXP(-10.199*eV/(kB*E84)))/(1+(2*PI()*mE*kB*E84/hP^2)^1.5*EXP(-13.598*eV/(kB*E84))/($B$7/(kB*E84)))</f>
        <v>0.845022906350025</v>
      </c>
    </row>
    <row r="85" customFormat="false" ht="15" hidden="false" customHeight="false" outlineLevel="0" collapsed="false">
      <c r="E85" s="20" t="n">
        <v>9700</v>
      </c>
      <c r="F85" s="17" t="n">
        <f aca="false">(2*PI()*mE*kB*E85/hP^2)^1.5*EXP(-13.598*eV/(kB*E85))/($B$7/(kB*E85))/(1+(2*PI()*mE*kB*E85/hP^2)^1.5*EXP(-13.598*eV/(kB*E85))/($B$7/(kB*E85)))</f>
        <v>0.570786956699795</v>
      </c>
      <c r="G85" s="17" t="n">
        <f aca="false">100000*(4*EXP(-10.199*eV/(kB*E85)))/(1+4*EXP(-10.199*eV/(kB*E85)))/(1+(2*PI()*mE*kB*E85/hP^2)^1.5*EXP(-13.598*eV/(kB*E85))/($B$7/(kB*E85)))</f>
        <v>0.862349221444153</v>
      </c>
    </row>
    <row r="86" customFormat="false" ht="15" hidden="false" customHeight="false" outlineLevel="0" collapsed="false">
      <c r="E86" s="20" t="n">
        <v>9800</v>
      </c>
      <c r="F86" s="17" t="n">
        <f aca="false">(2*PI()*mE*kB*E86/hP^2)^1.5*EXP(-13.598*eV/(kB*E86))/($B$7/(kB*E86))/(1+(2*PI()*mE*kB*E86/hP^2)^1.5*EXP(-13.598*eV/(kB*E86))/($B$7/(kB*E86)))</f>
        <v>0.616968904926055</v>
      </c>
      <c r="G86" s="17" t="n">
        <f aca="false">100000*(4*EXP(-10.199*eV/(kB*E86)))/(1+4*EXP(-10.199*eV/(kB*E86)))/(1+(2*PI()*mE*kB*E86/hP^2)^1.5*EXP(-13.598*eV/(kB*E86))/($B$7/(kB*E86)))</f>
        <v>0.871595514483715</v>
      </c>
    </row>
    <row r="87" customFormat="false" ht="15" hidden="false" customHeight="false" outlineLevel="0" collapsed="false">
      <c r="E87" s="20" t="n">
        <v>9900</v>
      </c>
      <c r="F87" s="17" t="n">
        <f aca="false">(2*PI()*mE*kB*E87/hP^2)^1.5*EXP(-13.598*eV/(kB*E87))/($B$7/(kB*E87))/(1+(2*PI()*mE*kB*E87/hP^2)^1.5*EXP(-13.598*eV/(kB*E87))/($B$7/(kB*E87)))</f>
        <v>0.66032176570963</v>
      </c>
      <c r="G87" s="17" t="n">
        <f aca="false">100000*(4*EXP(-10.199*eV/(kB*E87)))/(1+4*EXP(-10.199*eV/(kB*E87)))/(1+(2*PI()*mE*kB*E87/hP^2)^1.5*EXP(-13.598*eV/(kB*E87))/($B$7/(kB*E87)))</f>
        <v>0.873226441872642</v>
      </c>
    </row>
    <row r="88" customFormat="false" ht="15" hidden="false" customHeight="false" outlineLevel="0" collapsed="false">
      <c r="E88" s="20" t="n">
        <v>10000</v>
      </c>
      <c r="F88" s="17" t="n">
        <f aca="false">(2*PI()*mE*kB*E88/hP^2)^1.5*EXP(-13.598*eV/(kB*E88))/($B$7/(kB*E88))/(1+(2*PI()*mE*kB*E88/hP^2)^1.5*EXP(-13.598*eV/(kB*E88))/($B$7/(kB*E88)))</f>
        <v>0.700409041943375</v>
      </c>
      <c r="G88" s="17" t="n">
        <f aca="false">100000*(4*EXP(-10.199*eV/(kB*E88)))/(1+4*EXP(-10.199*eV/(kB*E88)))/(1+(2*PI()*mE*kB*E88/hP^2)^1.5*EXP(-13.598*eV/(kB*E88))/($B$7/(kB*E88)))</f>
        <v>0.867973246945313</v>
      </c>
    </row>
    <row r="89" customFormat="false" ht="15" hidden="false" customHeight="false" outlineLevel="0" collapsed="false">
      <c r="E89" s="20" t="n">
        <v>10100</v>
      </c>
      <c r="F89" s="17" t="n">
        <f aca="false">(2*PI()*mE*kB*E89/hP^2)^1.5*EXP(-13.598*eV/(kB*E89))/($B$7/(kB*E89))/(1+(2*PI()*mE*kB*E89/hP^2)^1.5*EXP(-13.598*eV/(kB*E89))/($B$7/(kB*E89)))</f>
        <v>0.736985323750559</v>
      </c>
      <c r="G89" s="17" t="n">
        <f aca="false">100000*(4*EXP(-10.199*eV/(kB*E89)))/(1+4*EXP(-10.199*eV/(kB*E89)))/(1+(2*PI()*mE*kB*E89/hP^2)^1.5*EXP(-13.598*eV/(kB*E89))/($B$7/(kB*E89)))</f>
        <v>0.856737617064804</v>
      </c>
    </row>
    <row r="90" customFormat="false" ht="15" hidden="false" customHeight="false" outlineLevel="0" collapsed="false">
      <c r="E90" s="20" t="n">
        <v>10200</v>
      </c>
      <c r="F90" s="17" t="n">
        <f aca="false">(2*PI()*mE*kB*E90/hP^2)^1.5*EXP(-13.598*eV/(kB*E90))/($B$7/(kB*E90))/(1+(2*PI()*mE*kB*E90/hP^2)^1.5*EXP(-13.598*eV/(kB*E90))/($B$7/(kB*E90)))</f>
        <v>0.769973453380741</v>
      </c>
      <c r="G90" s="17" t="n">
        <f aca="false">100000*(4*EXP(-10.199*eV/(kB*E90)))/(1+4*EXP(-10.199*eV/(kB*E90)))/(1+(2*PI()*mE*kB*E90/hP^2)^1.5*EXP(-13.598*eV/(kB*E90))/($B$7/(kB*E90)))</f>
        <v>0.840500531146916</v>
      </c>
    </row>
    <row r="91" customFormat="false" ht="15" hidden="false" customHeight="false" outlineLevel="0" collapsed="false">
      <c r="E91" s="20" t="n">
        <v>10300</v>
      </c>
      <c r="F91" s="17" t="n">
        <f aca="false">(2*PI()*mE*kB*E91/hP^2)^1.5*EXP(-13.598*eV/(kB*E91))/($B$7/(kB*E91))/(1+(2*PI()*mE*kB*E91/hP^2)^1.5*EXP(-13.598*eV/(kB*E91))/($B$7/(kB*E91)))</f>
        <v>0.799432292957552</v>
      </c>
      <c r="G91" s="17" t="n">
        <f aca="false">100000*(4*EXP(-10.199*eV/(kB*E91)))/(1+4*EXP(-10.199*eV/(kB*E91)))/(1+(2*PI()*mE*kB*E91/hP^2)^1.5*EXP(-13.598*eV/(kB*E91))/($B$7/(kB*E91)))</f>
        <v>0.820246221190273</v>
      </c>
    </row>
    <row r="92" customFormat="false" ht="15" hidden="false" customHeight="false" outlineLevel="0" collapsed="false">
      <c r="E92" s="20" t="n">
        <v>10400</v>
      </c>
      <c r="F92" s="17" t="n">
        <f aca="false">(2*PI()*mE*kB*E92/hP^2)^1.5*EXP(-13.598*eV/(kB*E92))/($B$7/(kB*E92))/(1+(2*PI()*mE*kB*E92/hP^2)^1.5*EXP(-13.598*eV/(kB*E92))/($B$7/(kB*E92)))</f>
        <v>0.825521606090593</v>
      </c>
      <c r="G92" s="17" t="n">
        <f aca="false">100000*(4*EXP(-10.199*eV/(kB*E92)))/(1+4*EXP(-10.199*eV/(kB*E92)))/(1+(2*PI()*mE*kB*E92/hP^2)^1.5*EXP(-13.598*eV/(kB*E92))/($B$7/(kB*E92)))</f>
        <v>0.796905877476251</v>
      </c>
    </row>
    <row r="93" customFormat="false" ht="15" hidden="false" customHeight="false" outlineLevel="0" collapsed="false">
      <c r="E93" s="20" t="n">
        <v>10500</v>
      </c>
      <c r="F93" s="17" t="n">
        <f aca="false">(2*PI()*mE*kB*E93/hP^2)^1.5*EXP(-13.598*eV/(kB*E93))/($B$7/(kB*E93))/(1+(2*PI()*mE*kB*E93/hP^2)^1.5*EXP(-13.598*eV/(kB*E93))/($B$7/(kB*E93)))</f>
        <v>0.848468833246835</v>
      </c>
      <c r="G93" s="17" t="n">
        <f aca="false">100000*(4*EXP(-10.199*eV/(kB*E93)))/(1+4*EXP(-10.199*eV/(kB*E93)))/(1+(2*PI()*mE*kB*E93/hP^2)^1.5*EXP(-13.598*eV/(kB*E93))/($B$7/(kB*E93)))</f>
        <v>0.771321269842234</v>
      </c>
    </row>
    <row r="94" customFormat="false" ht="15" hidden="false" customHeight="false" outlineLevel="0" collapsed="false">
      <c r="E94" s="20" t="n">
        <v>10600</v>
      </c>
      <c r="F94" s="17" t="n">
        <f aca="false">(2*PI()*mE*kB*E94/hP^2)^1.5*EXP(-13.598*eV/(kB*E94))/($B$7/(kB*E94))/(1+(2*PI()*mE*kB*E94/hP^2)^1.5*EXP(-13.598*eV/(kB*E94))/($B$7/(kB*E94)))</f>
        <v>0.868540600721156</v>
      </c>
      <c r="G94" s="17" t="n">
        <f aca="false">100000*(4*EXP(-10.199*eV/(kB*E94)))/(1+4*EXP(-10.199*eV/(kB*E94)))/(1+(2*PI()*mE*kB*E94/hP^2)^1.5*EXP(-13.598*eV/(kB*E94))/($B$7/(kB*E94)))</f>
        <v>0.744225628995614</v>
      </c>
    </row>
    <row r="95" customFormat="false" ht="15" hidden="false" customHeight="false" outlineLevel="0" collapsed="false">
      <c r="E95" s="20" t="n">
        <v>10700</v>
      </c>
      <c r="F95" s="17" t="n">
        <f aca="false">(2*PI()*mE*kB*E95/hP^2)^1.5*EXP(-13.598*eV/(kB*E95))/($B$7/(kB*E95))/(1+(2*PI()*mE*kB*E95/hP^2)^1.5*EXP(-13.598*eV/(kB*E95))/($B$7/(kB*E95)))</f>
        <v>0.886020146275277</v>
      </c>
      <c r="G95" s="17" t="n">
        <f aca="false">100000*(4*EXP(-10.199*eV/(kB*E95)))/(1+4*EXP(-10.199*eV/(kB*E95)))/(1+(2*PI()*mE*kB*E95/hP^2)^1.5*EXP(-13.598*eV/(kB*E95))/($B$7/(kB*E95)))</f>
        <v>0.716237854622737</v>
      </c>
    </row>
    <row r="96" customFormat="false" ht="15" hidden="false" customHeight="false" outlineLevel="0" collapsed="false">
      <c r="E96" s="20" t="n">
        <v>10800</v>
      </c>
      <c r="F96" s="17" t="n">
        <f aca="false">(2*PI()*mE*kB*E96/hP^2)^1.5*EXP(-13.598*eV/(kB*E96))/($B$7/(kB*E96))/(1+(2*PI()*mE*kB*E96/hP^2)^1.5*EXP(-13.598*eV/(kB*E96))/($B$7/(kB*E96)))</f>
        <v>0.901190674655924</v>
      </c>
      <c r="G96" s="17" t="n">
        <f aca="false">100000*(4*EXP(-10.199*eV/(kB*E96)))/(1+4*EXP(-10.199*eV/(kB*E96)))/(1+(2*PI()*mE*kB*E96/hP^2)^1.5*EXP(-13.598*eV/(kB*E96))/($B$7/(kB*E96)))</f>
        <v>0.68786597598837</v>
      </c>
    </row>
    <row r="97" customFormat="false" ht="15" hidden="false" customHeight="false" outlineLevel="0" collapsed="false">
      <c r="E97" s="20" t="n">
        <v>10900</v>
      </c>
      <c r="F97" s="17" t="n">
        <f aca="false">(2*PI()*mE*kB*E97/hP^2)^1.5*EXP(-13.598*eV/(kB*E97))/($B$7/(kB*E97))/(1+(2*PI()*mE*kB*E97/hP^2)^1.5*EXP(-13.598*eV/(kB*E97))/($B$7/(kB*E97)))</f>
        <v>0.914323972672647</v>
      </c>
      <c r="G97" s="17" t="n">
        <f aca="false">100000*(4*EXP(-10.199*eV/(kB*E97)))/(1+4*EXP(-10.199*eV/(kB*E97)))/(1+(2*PI()*mE*kB*E97/hP^2)^1.5*EXP(-13.598*eV/(kB*E97))/($B$7/(kB*E97)))</f>
        <v>0.659516308243307</v>
      </c>
    </row>
    <row r="98" customFormat="false" ht="15" hidden="false" customHeight="false" outlineLevel="0" collapsed="false">
      <c r="E98" s="20" t="n">
        <v>11000</v>
      </c>
      <c r="F98" s="17" t="n">
        <f aca="false">(2*PI()*mE*kB*E98/hP^2)^1.5*EXP(-13.598*eV/(kB*E98))/($B$7/(kB*E98))/(1+(2*PI()*mE*kB*E98/hP^2)^1.5*EXP(-13.598*eV/(kB*E98))/($B$7/(kB*E98)))</f>
        <v>0.925673313483344</v>
      </c>
      <c r="G98" s="17" t="n">
        <f aca="false">100000*(4*EXP(-10.199*eV/(kB*E98)))/(1+4*EXP(-10.199*eV/(kB*E98)))/(1+(2*PI()*mE*kB*E98/hP^2)^1.5*EXP(-13.598*eV/(kB*E98))/($B$7/(kB*E98)))</f>
        <v>0.631505535667221</v>
      </c>
    </row>
    <row r="99" customFormat="false" ht="15" hidden="false" customHeight="false" outlineLevel="0" collapsed="false">
      <c r="E99" s="20" t="n">
        <v>11100</v>
      </c>
      <c r="F99" s="17" t="n">
        <f aca="false">(2*PI()*mE*kB*E99/hP^2)^1.5*EXP(-13.598*eV/(kB*E99))/($B$7/(kB*E99))/(1+(2*PI()*mE*kB*E99/hP^2)^1.5*EXP(-13.598*eV/(kB*E99))/($B$7/(kB*E99)))</f>
        <v>0.935469634730628</v>
      </c>
      <c r="G99" s="17" t="n">
        <f aca="false">100000*(4*EXP(-10.199*eV/(kB*E99)))/(1+4*EXP(-10.199*eV/(kB*E99)))/(1+(2*PI()*mE*kB*E99/hP^2)^1.5*EXP(-13.598*eV/(kB*E99))/($B$7/(kB*E99)))</f>
        <v>0.604073759330096</v>
      </c>
    </row>
    <row r="100" customFormat="false" ht="15" hidden="false" customHeight="false" outlineLevel="0" collapsed="false">
      <c r="E100" s="20" t="n">
        <v>11200</v>
      </c>
      <c r="F100" s="17" t="n">
        <f aca="false">(2*PI()*mE*kB*E100/hP^2)^1.5*EXP(-13.598*eV/(kB*E100))/($B$7/(kB*E100))/(1+(2*PI()*mE*kB*E100/hP^2)^1.5*EXP(-13.598*eV/(kB*E100))/($B$7/(kB*E100)))</f>
        <v>0.943920072995986</v>
      </c>
      <c r="G100" s="17" t="n">
        <f aca="false">100000*(4*EXP(-10.199*eV/(kB*E100)))/(1+4*EXP(-10.199*eV/(kB*E100)))/(1+(2*PI()*mE*kB*E100/hP^2)^1.5*EXP(-13.598*eV/(kB*E100))/($B$7/(kB*E100)))</f>
        <v>0.577397240329222</v>
      </c>
    </row>
    <row r="101" customFormat="false" ht="15" hidden="false" customHeight="false" outlineLevel="0" collapsed="false">
      <c r="E101" s="20" t="n">
        <v>11300</v>
      </c>
      <c r="F101" s="17" t="n">
        <f aca="false">(2*PI()*mE*kB*E101/hP^2)^1.5*EXP(-13.598*eV/(kB*E101))/($B$7/(kB*E101))/(1+(2*PI()*mE*kB*E101/hP^2)^1.5*EXP(-13.598*eV/(kB*E101))/($B$7/(kB*E101)))</f>
        <v>0.951208096651284</v>
      </c>
      <c r="G101" s="17" t="n">
        <f aca="false">100000*(4*EXP(-10.199*eV/(kB*E101)))/(1+4*EXP(-10.199*eV/(kB*E101)))/(1+(2*PI()*mE*kB*E101/hP^2)^1.5*EXP(-13.598*eV/(kB*E101))/($B$7/(kB*E101)))</f>
        <v>0.551600104938868</v>
      </c>
    </row>
    <row r="102" customFormat="false" ht="15" hidden="false" customHeight="false" outlineLevel="0" collapsed="false">
      <c r="E102" s="20" t="n">
        <v>11400</v>
      </c>
      <c r="F102" s="17" t="n">
        <f aca="false">(2*PI()*mE*kB*E102/hP^2)^1.5*EXP(-13.598*eV/(kB*E102))/($B$7/(kB*E102))/(1+(2*PI()*mE*kB*E102/hP^2)^1.5*EXP(-13.598*eV/(kB*E102))/($B$7/(kB*E102)))</f>
        <v>0.957494650112573</v>
      </c>
      <c r="G102" s="17" t="n">
        <f aca="false">100000*(4*EXP(-10.199*eV/(kB*E102)))/(1+4*EXP(-10.199*eV/(kB*E102)))/(1+(2*PI()*mE*kB*E102/hP^2)^1.5*EXP(-13.598*eV/(kB*E102))/($B$7/(kB*E102)))</f>
        <v>0.526764657744451</v>
      </c>
    </row>
    <row r="103" customFormat="false" ht="15" hidden="false" customHeight="false" outlineLevel="0" collapsed="false">
      <c r="E103" s="20" t="n">
        <v>11500</v>
      </c>
      <c r="F103" s="17" t="n">
        <f aca="false">(2*PI()*mE*kB*E103/hP^2)^1.5*EXP(-13.598*eV/(kB*E103))/($B$7/(kB*E103))/(1+(2*PI()*mE*kB*E103/hP^2)^1.5*EXP(-13.598*eV/(kB*E103))/($B$7/(kB*E103)))</f>
        <v>0.962919877897142</v>
      </c>
      <c r="G103" s="17" t="n">
        <f aca="false">100000*(4*EXP(-10.199*eV/(kB*E103)))/(1+4*EXP(-10.199*eV/(kB*E103)))/(1+(2*PI()*mE*kB*E103/hP^2)^1.5*EXP(-13.598*eV/(kB*E103))/($B$7/(kB*E103)))</f>
        <v>0.502940198542981</v>
      </c>
    </row>
    <row r="104" customFormat="false" ht="15" hidden="false" customHeight="false" outlineLevel="0" collapsed="false">
      <c r="E104" s="20" t="n">
        <v>11600</v>
      </c>
      <c r="F104" s="17" t="n">
        <f aca="false">(2*PI()*mE*kB*E104/hP^2)^1.5*EXP(-13.598*eV/(kB*E104))/($B$7/(kB*E104))/(1+(2*PI()*mE*kB*E104/hP^2)^1.5*EXP(-13.598*eV/(kB*E104))/($B$7/(kB*E104)))</f>
        <v>0.967605125635093</v>
      </c>
      <c r="G104" s="17" t="n">
        <f aca="false">100000*(4*EXP(-10.199*eV/(kB*E104)))/(1+4*EXP(-10.199*eV/(kB*E104)))/(1+(2*PI()*mE*kB*E104/hP^2)^1.5*EXP(-13.598*eV/(kB*E104))/($B$7/(kB*E104)))</f>
        <v>0.480150389955294</v>
      </c>
    </row>
    <row r="105" customFormat="false" ht="15" hidden="false" customHeight="false" outlineLevel="0" collapsed="false">
      <c r="E105" s="20" t="n">
        <v>11700</v>
      </c>
      <c r="F105" s="17" t="n">
        <f aca="false">(2*PI()*mE*kB*E105/hP^2)^1.5*EXP(-13.598*eV/(kB*E105))/($B$7/(kB*E105))/(1+(2*PI()*mE*kB*E105/hP^2)^1.5*EXP(-13.598*eV/(kB*E105))/($B$7/(kB*E105)))</f>
        <v>0.971655015371821</v>
      </c>
      <c r="G105" s="17" t="n">
        <f aca="false">100000*(4*EXP(-10.199*eV/(kB*E105)))/(1+4*EXP(-10.199*eV/(kB*E105)))/(1+(2*PI()*mE*kB*E105/hP^2)^1.5*EXP(-13.598*eV/(kB*E105))/($B$7/(kB*E105)))</f>
        <v>0.458399304482642</v>
      </c>
    </row>
    <row r="106" customFormat="false" ht="15" hidden="false" customHeight="false" outlineLevel="0" collapsed="false">
      <c r="E106" s="20" t="n">
        <v>11800</v>
      </c>
      <c r="F106" s="17" t="n">
        <f aca="false">(2*PI()*mE*kB*E106/hP^2)^1.5*EXP(-13.598*eV/(kB*E106))/($B$7/(kB*E106))/(1+(2*PI()*mE*kB*E106/hP^2)^1.5*EXP(-13.598*eV/(kB*E106))/($B$7/(kB*E106)))</f>
        <v>0.975159466828437</v>
      </c>
      <c r="G106" s="17" t="n">
        <f aca="false">100000*(4*EXP(-10.199*eV/(kB*E106)))/(1+4*EXP(-10.199*eV/(kB*E106)))/(1+(2*PI()*mE*kB*E106/hP^2)^1.5*EXP(-13.598*eV/(kB*E106))/($B$7/(kB*E106)))</f>
        <v>0.437676315729557</v>
      </c>
    </row>
    <row r="107" customFormat="false" ht="15" hidden="false" customHeight="false" outlineLevel="0" collapsed="false">
      <c r="E107" s="20" t="n">
        <v>11900</v>
      </c>
      <c r="F107" s="17" t="n">
        <f aca="false">(2*PI()*mE*kB*E107/hP^2)^1.5*EXP(-13.598*eV/(kB*E107))/($B$7/(kB*E107))/(1+(2*PI()*mE*kB*E107/hP^2)^1.5*EXP(-13.598*eV/(kB*E107))/($B$7/(kB*E107)))</f>
        <v>0.978195589275257</v>
      </c>
      <c r="G107" s="17" t="n">
        <f aca="false">100000*(4*EXP(-10.199*eV/(kB*E107)))/(1+4*EXP(-10.199*eV/(kB*E107)))/(1+(2*PI()*mE*kB*E107/hP^2)^1.5*EXP(-13.598*eV/(kB*E107))/($B$7/(kB*E107)))</f>
        <v>0.417960006198844</v>
      </c>
    </row>
    <row r="108" customFormat="false" ht="15" hidden="false" customHeight="false" outlineLevel="0" collapsed="false">
      <c r="E108" s="20" t="n">
        <v>12000</v>
      </c>
      <c r="F108" s="17" t="n">
        <f aca="false">(2*PI()*mE*kB*E108/hP^2)^1.5*EXP(-13.598*eV/(kB*E108))/($B$7/(kB*E108))/(1+(2*PI()*mE*kB*E108/hP^2)^1.5*EXP(-13.598*eV/(kB*E108))/($B$7/(kB*E108)))</f>
        <v>0.980829405070916</v>
      </c>
      <c r="G108" s="17" t="n">
        <f aca="false">100000*(4*EXP(-10.199*eV/(kB*E108)))/(1+4*EXP(-10.199*eV/(kB*E108)))/(1+(2*PI()*mE*kB*E108/hP^2)^1.5*EXP(-13.598*eV/(kB*E108))/($B$7/(kB*E108)))</f>
        <v>0.399221255615641</v>
      </c>
    </row>
    <row r="109" customFormat="false" ht="15" hidden="false" customHeight="false" outlineLevel="0" collapsed="false">
      <c r="E109" s="20" t="n">
        <v>12100</v>
      </c>
      <c r="F109" s="17" t="n">
        <f aca="false">(2*PI()*mE*kB*E109/hP^2)^1.5*EXP(-13.598*eV/(kB*E109))/($B$7/(kB*E109))/(1+(2*PI()*mE*kB*E109/hP^2)^1.5*EXP(-13.598*eV/(kB*E109))/($B$7/(kB*E109)))</f>
        <v>0.983117389974632</v>
      </c>
      <c r="G109" s="17" t="n">
        <f aca="false">100000*(4*EXP(-10.199*eV/(kB*E109)))/(1+4*EXP(-10.199*eV/(kB*E109)))/(1+(2*PI()*mE*kB*E109/hP^2)^1.5*EXP(-13.598*eV/(kB*E109))/($B$7/(kB*E109)))</f>
        <v>0.381425657175144</v>
      </c>
    </row>
    <row r="110" customFormat="false" ht="15" hidden="false" customHeight="false" outlineLevel="0" collapsed="false">
      <c r="E110" s="20" t="n">
        <v>12200</v>
      </c>
      <c r="F110" s="17" t="n">
        <f aca="false">(2*PI()*mE*kB*E110/hP^2)^1.5*EXP(-13.598*eV/(kB*E110))/($B$7/(kB*E110))/(1+(2*PI()*mE*kB*E110/hP^2)^1.5*EXP(-13.598*eV/(kB*E110))/($B$7/(kB*E110)))</f>
        <v>0.985107830530393</v>
      </c>
      <c r="G110" s="17" t="n">
        <f aca="false">100000*(4*EXP(-10.199*eV/(kB*E110)))/(1+4*EXP(-10.199*eV/(kB*E110)))/(1+(2*PI()*mE*kB*E110/hP^2)^1.5*EXP(-13.598*eV/(kB*E110))/($B$7/(kB*E110)))</f>
        <v>0.364535389437717</v>
      </c>
    </row>
    <row r="111" customFormat="false" ht="15" hidden="false" customHeight="false" outlineLevel="0" collapsed="false">
      <c r="E111" s="20" t="n">
        <v>12300</v>
      </c>
      <c r="F111" s="17" t="n">
        <f aca="false">(2*PI()*mE*kB*E111/hP^2)^1.5*EXP(-13.598*eV/(kB*E111))/($B$7/(kB*E111))/(1+(2*PI()*mE*kB*E111/hP^2)^1.5*EXP(-13.598*eV/(kB*E111))/($B$7/(kB*E111)))</f>
        <v>0.986842007841314</v>
      </c>
      <c r="G111" s="17" t="n">
        <f aca="false">100000*(4*EXP(-10.199*eV/(kB*E111)))/(1+4*EXP(-10.199*eV/(kB*E111)))/(1+(2*PI()*mE*kB*E111/hP^2)^1.5*EXP(-13.598*eV/(kB*E111))/($B$7/(kB*E111)))</f>
        <v>0.348510651749017</v>
      </c>
    </row>
    <row r="112" customFormat="false" ht="15" hidden="false" customHeight="false" outlineLevel="0" collapsed="false">
      <c r="E112" s="20" t="n">
        <v>12400</v>
      </c>
      <c r="F112" s="17" t="n">
        <f aca="false">(2*PI()*mE*kB*E112/hP^2)^1.5*EXP(-13.598*eV/(kB*E112))/($B$7/(kB*E112))/(1+(2*PI()*mE*kB*E112/hP^2)^1.5*EXP(-13.598*eV/(kB*E112))/($B$7/(kB*E112)))</f>
        <v>0.988355221901078</v>
      </c>
      <c r="G112" s="17" t="n">
        <f aca="false">100000*(4*EXP(-10.199*eV/(kB*E112)))/(1+4*EXP(-10.199*eV/(kB*E112)))/(1+(2*PI()*mE*kB*E112/hP^2)^1.5*EXP(-13.598*eV/(kB*E112))/($B$7/(kB*E112)))</f>
        <v>0.333310752616191</v>
      </c>
    </row>
    <row r="113" customFormat="false" ht="15" hidden="false" customHeight="false" outlineLevel="0" collapsed="false">
      <c r="E113" s="20" t="n">
        <v>12500</v>
      </c>
      <c r="F113" s="17" t="n">
        <f aca="false">(2*PI()*mE*kB*E113/hP^2)^1.5*EXP(-13.598*eV/(kB*E113))/($B$7/(kB*E113))/(1+(2*PI()*mE*kB*E113/hP^2)^1.5*EXP(-13.598*eV/(kB*E113))/($B$7/(kB*E113)))</f>
        <v>0.989677672768555</v>
      </c>
      <c r="G113" s="17" t="n">
        <f aca="false">100000*(4*EXP(-10.199*eV/(kB*E113)))/(1+4*EXP(-10.199*eV/(kB*E113)))/(1+(2*PI()*mE*kB*E113/hP^2)^1.5*EXP(-13.598*eV/(kB*E113))/($B$7/(kB*E113)))</f>
        <v>0.318894924147251</v>
      </c>
    </row>
    <row r="114" customFormat="false" ht="15" hidden="false" customHeight="false" outlineLevel="0" collapsed="false">
      <c r="E114" s="20" t="n">
        <v>12600</v>
      </c>
      <c r="F114" s="17" t="n">
        <f aca="false">(2*PI()*mE*kB*E114/hP^2)^1.5*EXP(-13.598*eV/(kB*E114))/($B$7/(kB*E114))/(1+(2*PI()*mE*kB*E114/hP^2)^1.5*EXP(-13.598*eV/(kB*E114))/($B$7/(kB*E114)))</f>
        <v>0.990835215271954</v>
      </c>
      <c r="G114" s="17" t="n">
        <f aca="false">100000*(4*EXP(-10.199*eV/(kB*E114)))/(1+4*EXP(-10.199*eV/(kB*E114)))/(1+(2*PI()*mE*kB*E114/hP^2)^1.5*EXP(-13.598*eV/(kB*E114))/($B$7/(kB*E114)))</f>
        <v>0.305222921675169</v>
      </c>
    </row>
    <row r="115" customFormat="false" ht="15" hidden="false" customHeight="false" outlineLevel="0" collapsed="false">
      <c r="E115" s="20" t="n">
        <v>12700</v>
      </c>
      <c r="F115" s="17" t="n">
        <f aca="false">(2*PI()*mE*kB*E115/hP^2)^1.5*EXP(-13.598*eV/(kB*E115))/($B$7/(kB*E115))/(1+(2*PI()*mE*kB*E115/hP^2)^1.5*EXP(-13.598*eV/(kB*E115))/($B$7/(kB*E115)))</f>
        <v>0.991850003302123</v>
      </c>
      <c r="G115" s="17" t="n">
        <f aca="false">100000*(4*EXP(-10.199*eV/(kB*E115)))/(1+4*EXP(-10.199*eV/(kB*E115)))/(1+(2*PI()*mE*kB*E115/hP^2)^1.5*EXP(-13.598*eV/(kB*E115))/($B$7/(kB*E115)))</f>
        <v>0.292255455973791</v>
      </c>
    </row>
    <row r="116" customFormat="false" ht="15" hidden="false" customHeight="false" outlineLevel="0" collapsed="false">
      <c r="E116" s="20" t="n">
        <v>12800</v>
      </c>
      <c r="F116" s="17" t="n">
        <f aca="false">(2*PI()*mE*kB*E116/hP^2)^1.5*EXP(-13.598*eV/(kB*E116))/($B$7/(kB*E116))/(1+(2*PI()*mE*kB*E116/hP^2)^1.5*EXP(-13.598*eV/(kB*E116))/($B$7/(kB*E116)))</f>
        <v>0.992741038562707</v>
      </c>
      <c r="G116" s="17" t="n">
        <f aca="false">100000*(4*EXP(-10.199*eV/(kB*E116)))/(1+4*EXP(-10.199*eV/(kB*E116)))/(1+(2*PI()*mE*kB*E116/hP^2)^1.5*EXP(-13.598*eV/(kB*E116))/($B$7/(kB*E116)))</f>
        <v>0.279954495820254</v>
      </c>
    </row>
    <row r="117" customFormat="false" ht="15" hidden="false" customHeight="false" outlineLevel="0" collapsed="false">
      <c r="E117" s="20" t="n">
        <v>12900</v>
      </c>
      <c r="F117" s="17" t="n">
        <f aca="false">(2*PI()*mE*kB*E117/hP^2)^1.5*EXP(-13.598*eV/(kB*E117))/($B$7/(kB*E117))/(1+(2*PI()*mE*kB*E117/hP^2)^1.5*EXP(-13.598*eV/(kB*E117))/($B$7/(kB*E117)))</f>
        <v>0.993524637188057</v>
      </c>
      <c r="G117" s="17" t="n">
        <f aca="false">100000*(4*EXP(-10.199*eV/(kB*E117)))/(1+4*EXP(-10.199*eV/(kB*E117)))/(1+(2*PI()*mE*kB*E117/hP^2)^1.5*EXP(-13.598*eV/(kB*E117))/($B$7/(kB*E117)))</f>
        <v>0.268283470802014</v>
      </c>
    </row>
    <row r="118" customFormat="false" ht="15" hidden="false" customHeight="false" outlineLevel="0" collapsed="false">
      <c r="E118" s="20" t="n">
        <v>13000</v>
      </c>
      <c r="F118" s="17" t="n">
        <f aca="false">(2*PI()*mE*kB*E118/hP^2)^1.5*EXP(-13.598*eV/(kB*E118))/($B$7/(kB*E118))/(1+(2*PI()*mE*kB*E118/hP^2)^1.5*EXP(-13.598*eV/(kB*E118))/($B$7/(kB*E118)))</f>
        <v>0.994214826106562</v>
      </c>
      <c r="G118" s="17" t="n">
        <f aca="false">100000*(4*EXP(-10.199*eV/(kB*E118)))/(1+4*EXP(-10.199*eV/(kB*E118)))/(1+(2*PI()*mE*kB*E118/hP^2)^1.5*EXP(-13.598*eV/(kB*E118))/($B$7/(kB*E118)))</f>
        <v>0.257207397931028</v>
      </c>
    </row>
    <row r="119" customFormat="false" ht="15" hidden="false" customHeight="false" outlineLevel="0" collapsed="false">
      <c r="E119" s="20" t="n">
        <v>13100</v>
      </c>
      <c r="F119" s="17" t="n">
        <f aca="false">(2*PI()*mE*kB*E119/hP^2)^1.5*EXP(-13.598*eV/(kB*E119))/($B$7/(kB*E119))/(1+(2*PI()*mE*kB*E119/hP^2)^1.5*EXP(-13.598*eV/(kB*E119))/($B$7/(kB*E119)))</f>
        <v>0.99482367953074</v>
      </c>
      <c r="G119" s="17" t="n">
        <f aca="false">100000*(4*EXP(-10.199*eV/(kB*E119)))/(1+4*EXP(-10.199*eV/(kB*E119)))/(1+(2*PI()*mE*kB*E119/hP^2)^1.5*EXP(-13.598*eV/(kB*E119))/($B$7/(kB*E119)))</f>
        <v>0.24669295055546</v>
      </c>
    </row>
    <row r="120" customFormat="false" ht="15" hidden="false" customHeight="false" outlineLevel="0" collapsed="false">
      <c r="E120" s="20" t="n">
        <v>13200</v>
      </c>
      <c r="F120" s="17" t="n">
        <f aca="false">(2*PI()*mE*kB*E120/hP^2)^1.5*EXP(-13.598*eV/(kB*E120))/($B$7/(kB*E120))/(1+(2*PI()*mE*kB*E120/hP^2)^1.5*EXP(-13.598*eV/(kB*E120))/($B$7/(kB*E120)))</f>
        <v>0.995361604559171</v>
      </c>
      <c r="G120" s="17" t="n">
        <f aca="false">100000*(4*EXP(-10.199*eV/(kB*E120)))/(1+4*EXP(-10.199*eV/(kB*E120)))/(1+(2*PI()*mE*kB*E120/hP^2)^1.5*EXP(-13.598*eV/(kB*E120))/($B$7/(kB*E120)))</f>
        <v>0.236708484021482</v>
      </c>
    </row>
    <row r="121" customFormat="false" ht="15" hidden="false" customHeight="false" outlineLevel="0" collapsed="false">
      <c r="E121" s="20" t="n">
        <v>13300</v>
      </c>
      <c r="F121" s="17" t="n">
        <f aca="false">(2*PI()*mE*kB*E121/hP^2)^1.5*EXP(-13.598*eV/(kB*E121))/($B$7/(kB*E121))/(1+(2*PI()*mE*kB*E121/hP^2)^1.5*EXP(-13.598*eV/(kB*E121))/($B$7/(kB*E121)))</f>
        <v>0.995837583610228</v>
      </c>
      <c r="G121" s="17" t="n">
        <f aca="false">100000*(4*EXP(-10.199*eV/(kB*E121)))/(1+4*EXP(-10.199*eV/(kB*E121)))/(1+(2*PI()*mE*kB*E121/hP^2)^1.5*EXP(-13.598*eV/(kB*E121))/($B$7/(kB*E121)))</f>
        <v>0.227224029338043</v>
      </c>
    </row>
    <row r="122" customFormat="false" ht="15" hidden="false" customHeight="false" outlineLevel="0" collapsed="false">
      <c r="E122" s="20" t="n">
        <v>13400</v>
      </c>
      <c r="F122" s="17" t="n">
        <f aca="false">(2*PI()*mE*kB*E122/hP^2)^1.5*EXP(-13.598*eV/(kB*E122))/($B$7/(kB*E122))/(1+(2*PI()*mE*kB*E122/hP^2)^1.5*EXP(-13.598*eV/(kB*E122))/($B$7/(kB*E122)))</f>
        <v>0.996259380284194</v>
      </c>
      <c r="G122" s="17" t="n">
        <f aca="false">100000*(4*EXP(-10.199*eV/(kB*E122)))/(1+4*EXP(-10.199*eV/(kB*E122)))/(1+(2*PI()*mE*kB*E122/hP^2)^1.5*EXP(-13.598*eV/(kB*E122))/($B$7/(kB*E122)))</f>
        <v>0.21821126357126</v>
      </c>
    </row>
    <row r="123" customFormat="false" ht="15" hidden="false" customHeight="false" outlineLevel="0" collapsed="false">
      <c r="E123" s="20" t="n">
        <v>13500</v>
      </c>
      <c r="F123" s="17" t="n">
        <f aca="false">(2*PI()*mE*kB*E123/hP^2)^1.5*EXP(-13.598*eV/(kB*E123))/($B$7/(kB*E123))/(1+(2*PI()*mE*kB*E123/hP^2)^1.5*EXP(-13.598*eV/(kB*E123))/($B$7/(kB*E123)))</f>
        <v>0.996633714267387</v>
      </c>
      <c r="G123" s="17" t="n">
        <f aca="false">100000*(4*EXP(-10.199*eV/(kB*E123)))/(1+4*EXP(-10.199*eV/(kB*E123)))/(1+(2*PI()*mE*kB*E123/hP^2)^1.5*EXP(-13.598*eV/(kB*E123))/($B$7/(kB*E123)))</f>
        <v>0.209643463706894</v>
      </c>
    </row>
    <row r="124" customFormat="false" ht="15" hidden="false" customHeight="false" outlineLevel="0" collapsed="false">
      <c r="E124" s="20" t="n">
        <v>13600</v>
      </c>
      <c r="F124" s="17" t="n">
        <f aca="false">(2*PI()*mE*kB*E124/hP^2)^1.5*EXP(-13.598*eV/(kB*E124))/($B$7/(kB*E124))/(1+(2*PI()*mE*kB*E124/hP^2)^1.5*EXP(-13.598*eV/(kB*E124))/($B$7/(kB*E124)))</f>
        <v>0.996966410040835</v>
      </c>
      <c r="G124" s="17" t="n">
        <f aca="false">100000*(4*EXP(-10.199*eV/(kB*E124)))/(1+4*EXP(-10.199*eV/(kB*E124)))/(1+(2*PI()*mE*kB*E124/hP^2)^1.5*EXP(-13.598*eV/(kB*E124))/($B$7/(kB*E124)))</f>
        <v>0.201495449158779</v>
      </c>
    </row>
    <row r="125" customFormat="false" ht="15" hidden="false" customHeight="false" outlineLevel="0" collapsed="false">
      <c r="E125" s="20" t="n">
        <v>13700</v>
      </c>
      <c r="F125" s="17" t="n">
        <f aca="false">(2*PI()*mE*kB*E125/hP^2)^1.5*EXP(-13.598*eV/(kB*E125))/($B$7/(kB*E125))/(1+(2*PI()*mE*kB*E125/hP^2)^1.5*EXP(-13.598*eV/(kB*E125))/($B$7/(kB*E125)))</f>
        <v>0.997262523425126</v>
      </c>
      <c r="G125" s="17" t="n">
        <f aca="false">100000*(4*EXP(-10.199*eV/(kB*E125)))/(1+4*EXP(-10.199*eV/(kB*E125)))/(1+(2*PI()*mE*kB*E125/hP^2)^1.5*EXP(-13.598*eV/(kB*E125))/($B$7/(kB*E125)))</f>
        <v>0.193743516879227</v>
      </c>
    </row>
    <row r="126" customFormat="false" ht="15" hidden="false" customHeight="false" outlineLevel="0" collapsed="false">
      <c r="E126" s="20" t="n">
        <v>13800</v>
      </c>
      <c r="F126" s="17" t="n">
        <f aca="false">(2*PI()*mE*kB*E126/hP^2)^1.5*EXP(-13.598*eV/(kB*E126))/($B$7/(kB*E126))/(1+(2*PI()*mE*kB*E126/hP^2)^1.5*EXP(-13.598*eV/(kB*E126))/($B$7/(kB*E126)))</f>
        <v>0.997526449368966</v>
      </c>
      <c r="G126" s="17" t="n">
        <f aca="false">100000*(4*EXP(-10.199*eV/(kB*E126)))/(1+4*EXP(-10.199*eV/(kB*E126)))/(1+(2*PI()*mE*kB*E126/hP^2)^1.5*EXP(-13.598*eV/(kB*E126))/($B$7/(kB*E126)))</f>
        <v>0.186365372073028</v>
      </c>
    </row>
    <row r="127" customFormat="false" ht="15" hidden="false" customHeight="false" outlineLevel="0" collapsed="false">
      <c r="E127" s="20" t="n">
        <v>13900</v>
      </c>
      <c r="F127" s="17" t="n">
        <f aca="false">(2*PI()*mE*kB*E127/hP^2)^1.5*EXP(-13.598*eV/(kB*E127))/($B$7/(kB*E127))/(1+(2*PI()*mE*kB*E127/hP^2)^1.5*EXP(-13.598*eV/(kB*E127))/($B$7/(kB*E127)))</f>
        <v>0.997762013858621</v>
      </c>
      <c r="G127" s="17" t="n">
        <f aca="false">100000*(4*EXP(-10.199*eV/(kB*E127)))/(1+4*EXP(-10.199*eV/(kB*E127)))/(1+(2*PI()*mE*kB*E127/hP^2)^1.5*EXP(-13.598*eV/(kB*E127))/($B$7/(kB*E127)))</f>
        <v>0.179340056772925</v>
      </c>
    </row>
    <row r="128" customFormat="false" ht="15" hidden="false" customHeight="false" outlineLevel="0" collapsed="false">
      <c r="E128" s="20" t="n">
        <v>14000</v>
      </c>
      <c r="F128" s="17" t="n">
        <f aca="false">(2*PI()*mE*kB*E128/hP^2)^1.5*EXP(-13.598*eV/(kB*E128))/($B$7/(kB*E128))/(1+(2*PI()*mE*kB*E128/hP^2)^1.5*EXP(-13.598*eV/(kB*E128))/($B$7/(kB*E128)))</f>
        <v>0.997972552376108</v>
      </c>
      <c r="G128" s="17" t="n">
        <f aca="false">100000*(4*EXP(-10.199*eV/(kB*E128)))/(1+4*EXP(-10.199*eV/(kB*E128)))/(1+(2*PI()*mE*kB*E128/hP^2)^1.5*EXP(-13.598*eV/(kB*E128))/($B$7/(kB*E128)))</f>
        <v>0.172647877956448</v>
      </c>
    </row>
    <row r="129" customFormat="false" ht="15" hidden="false" customHeight="false" outlineLevel="0" collapsed="false">
      <c r="E129" s="20" t="n">
        <v>14100</v>
      </c>
      <c r="F129" s="17" t="n">
        <f aca="false">(2*PI()*mE*kB*E129/hP^2)^1.5*EXP(-13.598*eV/(kB*E129))/($B$7/(kB*E129))/(1+(2*PI()*mE*kB*E129/hP^2)^1.5*EXP(-13.598*eV/(kB*E129))/($B$7/(kB*E129)))</f>
        <v>0.998160976954421</v>
      </c>
      <c r="G129" s="17" t="n">
        <f aca="false">100000*(4*EXP(-10.199*eV/(kB*E129)))/(1+4*EXP(-10.199*eV/(kB*E129)))/(1+(2*PI()*mE*kB*E129/hP^2)^1.5*EXP(-13.598*eV/(kB*E129))/($B$7/(kB*E129)))</f>
        <v>0.166270336435977</v>
      </c>
    </row>
    <row r="130" customFormat="false" ht="15" hidden="false" customHeight="false" outlineLevel="0" collapsed="false">
      <c r="E130" s="20" t="n">
        <v>14200</v>
      </c>
      <c r="F130" s="17" t="n">
        <f aca="false">(2*PI()*mE*kB*E130/hP^2)^1.5*EXP(-13.598*eV/(kB*E130))/($B$7/(kB*E130))/(1+(2*PI()*mE*kB*E130/hP^2)^1.5*EXP(-13.598*eV/(kB*E130))/($B$7/(kB*E130)))</f>
        <v>0.99832983355784</v>
      </c>
      <c r="G130" s="17" t="n">
        <f aca="false">100000*(4*EXP(-10.199*eV/(kB*E130)))/(1+4*EXP(-10.199*eV/(kB*E130)))/(1+(2*PI()*mE*kB*E130/hP^2)^1.5*EXP(-13.598*eV/(kB*E130))/($B$7/(kB*E130)))</f>
        <v>0.160190057407861</v>
      </c>
    </row>
    <row r="131" customFormat="false" ht="15" hidden="false" customHeight="false" outlineLevel="0" collapsed="false">
      <c r="E131" s="20" t="n">
        <v>14300</v>
      </c>
      <c r="F131" s="17" t="n">
        <f aca="false">(2*PI()*mE*kB*E131/hP^2)^1.5*EXP(-13.598*eV/(kB*E131))/($B$7/(kB*E131))/(1+(2*PI()*mE*kB*E131/hP^2)^1.5*EXP(-13.598*eV/(kB*E131))/($B$7/(kB*E131)))</f>
        <v>0.998481351245664</v>
      </c>
      <c r="G131" s="17" t="n">
        <f aca="false">100000*(4*EXP(-10.199*eV/(kB*E131)))/(1+4*EXP(-10.199*eV/(kB*E131)))/(1+(2*PI()*mE*kB*E131/hP^2)^1.5*EXP(-13.598*eV/(kB*E131))/($B$7/(kB*E131)))</f>
        <v>0.154390723280181</v>
      </c>
    </row>
    <row r="132" customFormat="false" ht="15" hidden="false" customHeight="false" outlineLevel="0" collapsed="false">
      <c r="E132" s="20" t="n">
        <v>14400</v>
      </c>
      <c r="F132" s="17" t="n">
        <f aca="false">(2*PI()*mE*kB*E132/hP^2)^1.5*EXP(-13.598*eV/(kB*E132))/($B$7/(kB*E132))/(1+(2*PI()*mE*kB*E132/hP^2)^1.5*EXP(-13.598*eV/(kB*E132))/($B$7/(kB*E132)))</f>
        <v>0.998617484350625</v>
      </c>
      <c r="G132" s="17" t="n">
        <f aca="false">100000*(4*EXP(-10.199*eV/(kB*E132)))/(1+4*EXP(-10.199*eV/(kB*E132)))/(1+(2*PI()*mE*kB*E132/hP^2)^1.5*EXP(-13.598*eV/(kB*E132))/($B$7/(kB*E132)))</f>
        <v>0.148857009194832</v>
      </c>
    </row>
    <row r="133" customFormat="false" ht="15" hidden="false" customHeight="false" outlineLevel="0" collapsed="false">
      <c r="E133" s="20" t="n">
        <v>14500</v>
      </c>
      <c r="F133" s="17" t="n">
        <f aca="false">(2*PI()*mE*kB*E133/hP^2)^1.5*EXP(-13.598*eV/(kB*E133))/($B$7/(kB*E133))/(1+(2*PI()*mE*kB*E133/hP^2)^1.5*EXP(-13.598*eV/(kB*E133))/($B$7/(kB*E133)))</f>
        <v>0.998739948712185</v>
      </c>
      <c r="G133" s="17" t="n">
        <f aca="false">100000*(4*EXP(-10.199*eV/(kB*E133)))/(1+4*EXP(-10.199*eV/(kB*E133)))/(1+(2*PI()*mE*kB*E133/hP^2)^1.5*EXP(-13.598*eV/(kB*E133))/($B$7/(kB*E133)))</f>
        <v>0.143574521504457</v>
      </c>
    </row>
    <row r="134" customFormat="false" ht="15" hidden="false" customHeight="false" outlineLevel="0" collapsed="false">
      <c r="E134" s="20" t="n">
        <v>14600</v>
      </c>
      <c r="F134" s="17" t="n">
        <f aca="false">(2*PI()*mE*kB*E134/hP^2)^1.5*EXP(-13.598*eV/(kB*E134))/($B$7/(kB*E134))/(1+(2*PI()*mE*kB*E134/hP^2)^1.5*EXP(-13.598*eV/(kB*E134))/($B$7/(kB*E134)))</f>
        <v>0.998850252844169</v>
      </c>
      <c r="G134" s="17" t="n">
        <f aca="false">100000*(4*EXP(-10.199*eV/(kB*E134)))/(1+4*EXP(-10.199*eV/(kB*E134)))/(1+(2*PI()*mE*kB*E134/hP^2)^1.5*EXP(-13.598*eV/(kB*E134))/($B$7/(kB*E134)))</f>
        <v>0.13852973934748</v>
      </c>
    </row>
    <row r="135" customFormat="false" ht="15" hidden="false" customHeight="false" outlineLevel="0" collapsed="false">
      <c r="E135" s="20" t="n">
        <v>14700</v>
      </c>
      <c r="F135" s="17" t="n">
        <f aca="false">(2*PI()*mE*kB*E135/hP^2)^1.5*EXP(-13.598*eV/(kB*E135))/($B$7/(kB*E135))/(1+(2*PI()*mE*kB*E135/hP^2)^1.5*EXP(-13.598*eV/(kB*E135))/($B$7/(kB*E135)))</f>
        <v>0.998949724780919</v>
      </c>
      <c r="G135" s="17" t="n">
        <f aca="false">100000*(4*EXP(-10.199*eV/(kB*E135)))/(1+4*EXP(-10.199*eV/(kB*E135)))/(1+(2*PI()*mE*kB*E135/hP^2)^1.5*EXP(-13.598*eV/(kB*E135))/($B$7/(kB*E135)))</f>
        <v>0.133709959376755</v>
      </c>
    </row>
    <row r="136" customFormat="false" ht="15" hidden="false" customHeight="false" outlineLevel="0" collapsed="false">
      <c r="E136" s="20" t="n">
        <v>14800</v>
      </c>
      <c r="F136" s="17" t="n">
        <f aca="false">(2*PI()*mE*kB*E136/hP^2)^1.5*EXP(-13.598*eV/(kB*E136))/($B$7/(kB*E136))/(1+(2*PI()*mE*kB*E136/hP^2)^1.5*EXP(-13.598*eV/(kB*E136))/($B$7/(kB*E136)))</f>
        <v>0.99903953523227</v>
      </c>
      <c r="G136" s="17" t="n">
        <f aca="false">100000*(4*EXP(-10.199*eV/(kB*E136)))/(1+4*EXP(-10.199*eV/(kB*E136)))/(1+(2*PI()*mE*kB*E136/hP^2)^1.5*EXP(-13.598*eV/(kB*E136))/($B$7/(kB*E136)))</f>
        <v>0.129103243632557</v>
      </c>
    </row>
    <row r="137" customFormat="false" ht="15" hidden="false" customHeight="false" outlineLevel="0" collapsed="false">
      <c r="E137" s="20" t="n">
        <v>14900</v>
      </c>
      <c r="F137" s="17" t="n">
        <f aca="false">(2*PI()*mE*kB*E137/hP^2)^1.5*EXP(-13.598*eV/(kB*E137))/($B$7/(kB*E137))/(1+(2*PI()*mE*kB*E137/hP^2)^1.5*EXP(-13.598*eV/(kB*E137))/($B$7/(kB*E137)))</f>
        <v>0.999120717581793</v>
      </c>
      <c r="G137" s="17" t="n">
        <f aca="false">100000*(4*EXP(-10.199*eV/(kB*E137)))/(1+4*EXP(-10.199*eV/(kB*E137)))/(1+(2*PI()*mE*kB*E137/hP^2)^1.5*EXP(-13.598*eV/(kB*E137))/($B$7/(kB*E137)))</f>
        <v>0.124698370503472</v>
      </c>
    </row>
    <row r="138" customFormat="false" ht="15" hidden="false" customHeight="false" outlineLevel="0" collapsed="false">
      <c r="E138" s="20" t="n">
        <v>15000</v>
      </c>
      <c r="F138" s="17" t="n">
        <f aca="false">(2*PI()*mE*kB*E138/hP^2)^1.5*EXP(-13.598*eV/(kB*E138))/($B$7/(kB*E138))/(1+(2*PI()*mE*kB*E138/hP^2)^1.5*EXP(-13.598*eV/(kB*E138))/($B$7/(kB*E138)))</f>
        <v>0.99919418518187</v>
      </c>
      <c r="G138" s="17" t="n">
        <f aca="false">100000*(4*EXP(-10.199*eV/(kB*E138)))/(1+4*EXP(-10.199*eV/(kB*E138)))/(1+(2*PI()*mE*kB*E138/hP^2)^1.5*EXP(-13.598*eV/(kB*E138))/($B$7/(kB*E138)))</f>
        <v>0.120484788685379</v>
      </c>
    </row>
    <row r="139" customFormat="false" ht="15" hidden="false" customHeight="false" outlineLevel="0" collapsed="false">
      <c r="E139" s="20" t="n">
        <v>15100</v>
      </c>
      <c r="F139" s="17" t="n">
        <f aca="false">(2*PI()*mE*kB*E139/hP^2)^1.5*EXP(-13.598*eV/(kB*E139))/($B$7/(kB*E139))/(1+(2*PI()*mE*kB*E139/hP^2)^1.5*EXP(-13.598*eV/(kB*E139))/($B$7/(kB*E139)))</f>
        <v>0.99926074633108</v>
      </c>
      <c r="G139" s="17" t="n">
        <f aca="false">100000*(4*EXP(-10.199*eV/(kB*E139)))/(1+4*EXP(-10.199*eV/(kB*E139)))/(1+(2*PI()*mE*kB*E139/hP^2)^1.5*EXP(-13.598*eV/(kB*E139))/($B$7/(kB*E139)))</f>
        <v>0.116452574025729</v>
      </c>
    </row>
    <row r="140" customFormat="false" ht="15" hidden="false" customHeight="false" outlineLevel="0" collapsed="false">
      <c r="E140" s="20" t="n">
        <v>15200</v>
      </c>
      <c r="F140" s="17" t="n">
        <f aca="false">(2*PI()*mE*kB*E140/hP^2)^1.5*EXP(-13.598*eV/(kB*E140))/($B$7/(kB*E140))/(1+(2*PI()*mE*kB*E140/hP^2)^1.5*EXP(-13.598*eV/(kB*E140))/($B$7/(kB*E140)))</f>
        <v>0.999321117261752</v>
      </c>
      <c r="G140" s="17" t="n">
        <f aca="false">100000*(4*EXP(-10.199*eV/(kB*E140)))/(1+4*EXP(-10.199*eV/(kB*E140)))/(1+(2*PI()*mE*kB*E140/hP^2)^1.5*EXP(-13.598*eV/(kB*E140))/($B$7/(kB*E140)))</f>
        <v>0.112592389125454</v>
      </c>
    </row>
    <row r="141" customFormat="false" ht="15" hidden="false" customHeight="false" outlineLevel="0" collapsed="false">
      <c r="E141" s="20" t="n">
        <v>15300</v>
      </c>
      <c r="F141" s="17" t="n">
        <f aca="false">(2*PI()*mE*kB*E141/hP^2)^1.5*EXP(-13.598*eV/(kB*E141))/($B$7/(kB*E141))/(1+(2*PI()*mE*kB*E141/hP^2)^1.5*EXP(-13.598*eV/(kB*E141))/($B$7/(kB*E141)))</f>
        <v>0.999375933417013</v>
      </c>
      <c r="G141" s="17" t="n">
        <f aca="false">100000*(4*EXP(-10.199*eV/(kB*E141)))/(1+4*EXP(-10.199*eV/(kB*E141)))/(1+(2*PI()*mE*kB*E141/hP^2)^1.5*EXP(-13.598*eV/(kB*E141))/($B$7/(kB*E141)))</f>
        <v>0.108895445562014</v>
      </c>
    </row>
    <row r="142" customFormat="false" ht="15" hidden="false" customHeight="false" outlineLevel="0" collapsed="false">
      <c r="E142" s="20" t="n">
        <v>15400</v>
      </c>
      <c r="F142" s="17" t="n">
        <f aca="false">(2*PI()*mE*kB*E142/hP^2)^1.5*EXP(-13.598*eV/(kB*E142))/($B$7/(kB*E142))/(1+(2*PI()*mE*kB*E142/hP^2)^1.5*EXP(-13.598*eV/(kB*E142))/($B$7/(kB*E142)))</f>
        <v>0.999425759255464</v>
      </c>
      <c r="G142" s="17" t="n">
        <f aca="false">100000*(4*EXP(-10.199*eV/(kB*E142)))/(1+4*EXP(-10.199*eV/(kB*E142)))/(1+(2*PI()*mE*kB*E142/hP^2)^1.5*EXP(-13.598*eV/(kB*E142))/($B$7/(kB*E142)))</f>
        <v>0.105353468592842</v>
      </c>
    </row>
    <row r="143" customFormat="false" ht="15" hidden="false" customHeight="false" outlineLevel="0" collapsed="false">
      <c r="E143" s="20" t="n">
        <v>15500</v>
      </c>
      <c r="F143" s="17" t="n">
        <f aca="false">(2*PI()*mE*kB*E143/hP^2)^1.5*EXP(-13.598*eV/(kB*E143))/($B$7/(kB*E143))/(1+(2*PI()*mE*kB*E143/hP^2)^1.5*EXP(-13.598*eV/(kB*E143))/($B$7/(kB*E143)))</f>
        <v>0.99947109678686</v>
      </c>
      <c r="G143" s="17" t="n">
        <f aca="false">100000*(4*EXP(-10.199*eV/(kB*E143)))/(1+4*EXP(-10.199*eV/(kB*E143)))/(1+(2*PI()*mE*kB*E143/hP^2)^1.5*EXP(-13.598*eV/(kB*E143))/($B$7/(kB*E143)))</f>
        <v>0.10195866419763</v>
      </c>
    </row>
    <row r="144" customFormat="false" ht="15" hidden="false" customHeight="false" outlineLevel="0" collapsed="false">
      <c r="E144" s="20" t="n">
        <v>15600</v>
      </c>
      <c r="F144" s="17" t="n">
        <f aca="false">(2*PI()*mE*kB*E144/hP^2)^1.5*EXP(-13.598*eV/(kB*E144))/($B$7/(kB*E144))/(1+(2*PI()*mE*kB*E144/hP^2)^1.5*EXP(-13.598*eV/(kB*E144))/($B$7/(kB*E144)))</f>
        <v>0.999512393012632</v>
      </c>
      <c r="G144" s="17" t="n">
        <f aca="false">100000*(4*EXP(-10.199*eV/(kB*E144)))/(1+4*EXP(-10.199*eV/(kB*E144)))/(1+(2*PI()*mE*kB*E144/hP^2)^1.5*EXP(-13.598*eV/(kB*E144))/($B$7/(kB*E144)))</f>
        <v>0.0987036883195807</v>
      </c>
    </row>
    <row r="145" customFormat="false" ht="15" hidden="false" customHeight="false" outlineLevel="0" collapsed="false">
      <c r="E145" s="20" t="n">
        <v>15700</v>
      </c>
      <c r="F145" s="17" t="n">
        <f aca="false">(2*PI()*mE*kB*E145/hP^2)^1.5*EXP(-13.598*eV/(kB*E145))/($B$7/(kB*E145))/(1+(2*PI()*mE*kB*E145/hP^2)^1.5*EXP(-13.598*eV/(kB*E145))/($B$7/(kB*E145)))</f>
        <v>0.99955004642007</v>
      </c>
      <c r="G145" s="17" t="n">
        <f aca="false">100000*(4*EXP(-10.199*eV/(kB*E145)))/(1+4*EXP(-10.199*eV/(kB*E145)))/(1+(2*PI()*mE*kB*E145/hP^2)^1.5*EXP(-13.598*eV/(kB*E145))/($B$7/(kB*E145)))</f>
        <v>0.0955816181691852</v>
      </c>
    </row>
    <row r="146" customFormat="false" ht="15" hidden="false" customHeight="false" outlineLevel="0" collapsed="false">
      <c r="E146" s="20" t="n">
        <v>15800</v>
      </c>
      <c r="F146" s="17" t="n">
        <f aca="false">(2*PI()*mE*kB*E146/hP^2)^1.5*EXP(-13.598*eV/(kB*E146))/($B$7/(kB*E146))/(1+(2*PI()*mE*kB*E146/hP^2)^1.5*EXP(-13.598*eV/(kB*E146))/($B$7/(kB*E146)))</f>
        <v>0.999584412657689</v>
      </c>
      <c r="G146" s="17" t="n">
        <f aca="false">100000*(4*EXP(-10.199*eV/(kB*E146)))/(1+4*EXP(-10.199*eV/(kB*E146)))/(1+(2*PI()*mE*kB*E146/hP^2)^1.5*EXP(-13.598*eV/(kB*E146))/($B$7/(kB*E146)))</f>
        <v>0.0925859254588596</v>
      </c>
    </row>
    <row r="147" customFormat="false" ht="15" hidden="false" customHeight="false" outlineLevel="0" collapsed="false">
      <c r="E147" s="20" t="n">
        <v>15900</v>
      </c>
      <c r="F147" s="17" t="n">
        <f aca="false">(2*PI()*mE*kB*E147/hP^2)^1.5*EXP(-13.598*eV/(kB*E147))/($B$7/(kB*E147))/(1+(2*PI()*mE*kB*E147/hP^2)^1.5*EXP(-13.598*eV/(kB*E147))/($B$7/(kB*E147)))</f>
        <v>0.999615809501237</v>
      </c>
      <c r="G147" s="17" t="n">
        <f aca="false">100000*(4*EXP(-10.199*eV/(kB*E147)))/(1+4*EXP(-10.199*eV/(kB*E147)))/(1+(2*PI()*mE*kB*E147/hP^2)^1.5*EXP(-13.598*eV/(kB*E147))/($B$7/(kB*E147)))</f>
        <v>0.0897104514422851</v>
      </c>
    </row>
    <row r="148" customFormat="false" ht="15" hidden="false" customHeight="false" outlineLevel="0" collapsed="false">
      <c r="E148" s="20" t="n">
        <v>16000</v>
      </c>
      <c r="F148" s="17" t="n">
        <f aca="false">(2*PI()*mE*kB*E148/hP^2)^1.5*EXP(-13.598*eV/(kB*E148))/($B$7/(kB*E148))/(1+(2*PI()*mE*kB*E148/hP^2)^1.5*EXP(-13.598*eV/(kB*E148))/($B$7/(kB*E148)))</f>
        <v>0.999644521204372</v>
      </c>
      <c r="G148" s="17" t="n">
        <f aca="false">100000*(4*EXP(-10.199*eV/(kB*E148)))/(1+4*EXP(-10.199*eV/(kB*E148)))/(1+(2*PI()*mE*kB*E148/hP^2)^1.5*EXP(-13.598*eV/(kB*E148))/($B$7/(kB*E148)))</f>
        <v>0.0869493836384114</v>
      </c>
    </row>
    <row r="149" customFormat="false" ht="15" hidden="false" customHeight="false" outlineLevel="0" collapsed="false">
      <c r="E149" s="20" t="n">
        <v>16100</v>
      </c>
      <c r="F149" s="17" t="n">
        <f aca="false">(2*PI()*mE*kB*E149/hP^2)^1.5*EXP(-13.598*eV/(kB*E149))/($B$7/(kB*E149))/(1+(2*PI()*mE*kB*E149/hP^2)^1.5*EXP(-13.598*eV/(kB*E149))/($B$7/(kB*E149)))</f>
        <v>0.999670802314914</v>
      </c>
      <c r="G149" s="17" t="n">
        <f aca="false">100000*(4*EXP(-10.199*eV/(kB*E149)))/(1+4*EXP(-10.199*eV/(kB*E149)))/(1+(2*PI()*mE*kB*E149/hP^2)^1.5*EXP(-13.598*eV/(kB*E149))/($B$7/(kB*E149)))</f>
        <v>0.0842972341264263</v>
      </c>
    </row>
    <row r="150" customFormat="false" ht="15" hidden="false" customHeight="false" outlineLevel="0" collapsed="false">
      <c r="E150" s="20" t="n">
        <v>16200</v>
      </c>
      <c r="F150" s="17" t="n">
        <f aca="false">(2*PI()*mE*kB*E150/hP^2)^1.5*EXP(-13.598*eV/(kB*E150))/($B$7/(kB*E150))/(1+(2*PI()*mE*kB*E150/hP^2)^1.5*EXP(-13.598*eV/(kB*E150))/($B$7/(kB*E150)))</f>
        <v>0.999694881026355</v>
      </c>
      <c r="G150" s="17" t="n">
        <f aca="false">100000*(4*EXP(-10.199*eV/(kB*E150)))/(1+4*EXP(-10.199*eV/(kB*E150)))/(1+(2*PI()*mE*kB*E150/hP^2)^1.5*EXP(-13.598*eV/(kB*E150))/($B$7/(kB*E150)))</f>
        <v>0.0817488193044657</v>
      </c>
    </row>
    <row r="151" customFormat="false" ht="15" hidden="false" customHeight="false" outlineLevel="0" collapsed="false">
      <c r="E151" s="20" t="n">
        <v>16300</v>
      </c>
      <c r="F151" s="17" t="n">
        <f aca="false">(2*PI()*mE*kB*E151/hP^2)^1.5*EXP(-13.598*eV/(kB*E151))/($B$7/(kB*E151))/(1+(2*PI()*mE*kB*E151/hP^2)^1.5*EXP(-13.598*eV/(kB*E151))/($B$7/(kB*E151)))</f>
        <v>0.999716962124727</v>
      </c>
      <c r="G151" s="17" t="n">
        <f aca="false">100000*(4*EXP(-10.199*eV/(kB*E151)))/(1+4*EXP(-10.199*eV/(kB*E151)))/(1+(2*PI()*mE*kB*E151/hP^2)^1.5*EXP(-13.598*eV/(kB*E151))/($B$7/(kB*E151)))</f>
        <v>0.0792992410112659</v>
      </c>
    </row>
    <row r="152" customFormat="false" ht="15" hidden="false" customHeight="false" outlineLevel="0" collapsed="false">
      <c r="E152" s="20" t="n">
        <v>16400</v>
      </c>
      <c r="F152" s="17" t="n">
        <f aca="false">(2*PI()*mE*kB*E152/hP^2)^1.5*EXP(-13.598*eV/(kB*E152))/($B$7/(kB*E152))/(1+(2*PI()*mE*kB*E152/hP^2)^1.5*EXP(-13.598*eV/(kB*E152))/($B$7/(kB*E152)))</f>
        <v>0.999737229582734</v>
      </c>
      <c r="G152" s="17" t="n">
        <f aca="false">100000*(4*EXP(-10.199*eV/(kB*E152)))/(1+4*EXP(-10.199*eV/(kB*E152)))/(1+(2*PI()*mE*kB*E152/hP^2)^1.5*EXP(-13.598*eV/(kB*E152))/($B$7/(kB*E152)))</f>
        <v>0.0769438689162664</v>
      </c>
    </row>
    <row r="153" customFormat="false" ht="15" hidden="false" customHeight="false" outlineLevel="0" collapsed="false">
      <c r="E153" s="20" t="n">
        <v>16500</v>
      </c>
      <c r="F153" s="17" t="n">
        <f aca="false">(2*PI()*mE*kB*E153/hP^2)^1.5*EXP(-13.598*eV/(kB*E153))/($B$7/(kB*E153))/(1+(2*PI()*mE*kB*E153/hP^2)^1.5*EXP(-13.598*eV/(kB*E153))/($B$7/(kB*E153)))</f>
        <v>0.999755848846006</v>
      </c>
      <c r="G153" s="17" t="n">
        <f aca="false">100000*(4*EXP(-10.199*eV/(kB*E153)))/(1+4*EXP(-10.199*eV/(kB*E153)))/(1+(2*PI()*mE*kB*E153/hP^2)^1.5*EXP(-13.598*eV/(kB*E153))/($B$7/(kB*E153)))</f>
        <v>0.0746783240897743</v>
      </c>
    </row>
    <row r="154" customFormat="false" ht="15" hidden="false" customHeight="false" outlineLevel="0" collapsed="false">
      <c r="E154" s="20" t="n">
        <v>16600</v>
      </c>
      <c r="F154" s="17" t="n">
        <f aca="false">(2*PI()*mE*kB*E154/hP^2)^1.5*EXP(-13.598*eV/(kB*E154))/($B$7/(kB*E154))/(1+(2*PI()*mE*kB*E154/hP^2)^1.5*EXP(-13.598*eV/(kB*E154))/($B$7/(kB*E154)))</f>
        <v>0.999772968850341</v>
      </c>
      <c r="G154" s="17" t="n">
        <f aca="false">100000*(4*EXP(-10.199*eV/(kB*E154)))/(1+4*EXP(-10.199*eV/(kB*E154)))/(1+(2*PI()*mE*kB*E154/hP^2)^1.5*EXP(-13.598*eV/(kB*E154))/($B$7/(kB*E154)))</f>
        <v>0.0724984636706695</v>
      </c>
    </row>
    <row r="155" customFormat="false" ht="15" hidden="false" customHeight="false" outlineLevel="0" collapsed="false">
      <c r="E155" s="20" t="n">
        <v>16700</v>
      </c>
      <c r="F155" s="17" t="n">
        <f aca="false">(2*PI()*mE*kB*E155/hP^2)^1.5*EXP(-13.598*eV/(kB*E155))/($B$7/(kB*E155))/(1+(2*PI()*mE*kB*E155/hP^2)^1.5*EXP(-13.598*eV/(kB*E155))/($B$7/(kB*E155)))</f>
        <v>0.99978872380357</v>
      </c>
      <c r="G155" s="17" t="n">
        <f aca="false">100000*(4*EXP(-10.199*eV/(kB*E155)))/(1+4*EXP(-10.199*eV/(kB*E155)))/(1+(2*PI()*mE*kB*E155/hP^2)^1.5*EXP(-13.598*eV/(kB*E155))/($B$7/(kB*E155)))</f>
        <v>0.0704003665547197</v>
      </c>
    </row>
    <row r="156" customFormat="false" ht="15" hidden="false" customHeight="false" outlineLevel="0" collapsed="false">
      <c r="E156" s="20" t="n">
        <v>16800</v>
      </c>
      <c r="F156" s="17" t="n">
        <f aca="false">(2*PI()*mE*kB*E156/hP^2)^1.5*EXP(-13.598*eV/(kB*E156))/($B$7/(kB*E156))/(1+(2*PI()*mE*kB*E156/hP^2)^1.5*EXP(-13.598*eV/(kB*E156))/($B$7/(kB*E156)))</f>
        <v>0.999803234761287</v>
      </c>
      <c r="G156" s="17" t="n">
        <f aca="false">100000*(4*EXP(-10.199*eV/(kB*E156)))/(1+4*EXP(-10.199*eV/(kB*E156)))/(1+(2*PI()*mE*kB*E156/hP^2)^1.5*EXP(-13.598*eV/(kB*E156))/($B$7/(kB*E156)))</f>
        <v>0.068380320031875</v>
      </c>
    </row>
    <row r="157" customFormat="false" ht="15" hidden="false" customHeight="false" outlineLevel="0" collapsed="false">
      <c r="E157" s="20" t="n">
        <v>16900</v>
      </c>
      <c r="F157" s="17" t="n">
        <f aca="false">(2*PI()*mE*kB*E157/hP^2)^1.5*EXP(-13.598*eV/(kB*E157))/($B$7/(kB*E157))/(1+(2*PI()*mE*kB*E157/hP^2)^1.5*EXP(-13.598*eV/(kB*E157))/($B$7/(kB*E157)))</f>
        <v>0.999816611021808</v>
      </c>
      <c r="G157" s="17" t="n">
        <f aca="false">100000*(4*EXP(-10.199*eV/(kB*E157)))/(1+4*EXP(-10.199*eV/(kB*E157)))/(1+(2*PI()*mE*kB*E157/hP^2)^1.5*EXP(-13.598*eV/(kB*E157))/($B$7/(kB*E157)))</f>
        <v>0.0664348073059123</v>
      </c>
    </row>
    <row r="158" customFormat="false" ht="15" hidden="false" customHeight="false" outlineLevel="0" collapsed="false">
      <c r="E158" s="20" t="n">
        <v>17000</v>
      </c>
      <c r="F158" s="17" t="n">
        <f aca="false">(2*PI()*mE*kB*E158/hP^2)^1.5*EXP(-13.598*eV/(kB*E158))/($B$7/(kB*E158))/(1+(2*PI()*mE*kB*E158/hP^2)^1.5*EXP(-13.598*eV/(kB*E158))/($B$7/(kB*E158)))</f>
        <v>0.99982895136243</v>
      </c>
      <c r="G158" s="17" t="n">
        <f aca="false">100000*(4*EXP(-10.199*eV/(kB*E158)))/(1+4*EXP(-10.199*eV/(kB*E158)))/(1+(2*PI()*mE*kB*E158/hP^2)^1.5*EXP(-13.598*eV/(kB*E158))/($B$7/(kB*E158)))</f>
        <v>0.0645604958345089</v>
      </c>
    </row>
    <row r="159" customFormat="false" ht="15" hidden="false" customHeight="false" outlineLevel="0" collapsed="false">
      <c r="E159" s="20" t="n">
        <v>17100</v>
      </c>
      <c r="F159" s="17" t="n">
        <f aca="false">(2*PI()*mE*kB*E159/hP^2)^1.5*EXP(-13.598*eV/(kB*E159))/($B$7/(kB*E159))/(1+(2*PI()*mE*kB*E159/hP^2)^1.5*EXP(-13.598*eV/(kB*E159))/($B$7/(kB*E159)))</f>
        <v>0.999840345136229</v>
      </c>
      <c r="G159" s="17" t="n">
        <f aca="false">100000*(4*EXP(-10.199*eV/(kB*E159)))/(1+4*EXP(-10.199*eV/(kB*E159)))/(1+(2*PI()*mE*kB*E159/hP^2)^1.5*EXP(-13.598*eV/(kB*E159))/($B$7/(kB*E159)))</f>
        <v>0.0627542264322276</v>
      </c>
    </row>
    <row r="160" customFormat="false" ht="15" hidden="false" customHeight="false" outlineLevel="0" collapsed="false">
      <c r="E160" s="20" t="n">
        <v>17200</v>
      </c>
      <c r="F160" s="17" t="n">
        <f aca="false">(2*PI()*mE*kB*E160/hP^2)^1.5*EXP(-13.598*eV/(kB*E160))/($B$7/(kB*E160))/(1+(2*PI()*mE*kB*E160/hP^2)^1.5*EXP(-13.598*eV/(kB*E160))/($B$7/(kB*E160)))</f>
        <v>0.999850873246141</v>
      </c>
      <c r="G160" s="17" t="n">
        <f aca="false">100000*(4*EXP(-10.199*eV/(kB*E160)))/(1+4*EXP(-10.199*eV/(kB*E160)))/(1+(2*PI()*mE*kB*E160/hP^2)^1.5*EXP(-13.598*eV/(kB*E160))/($B$7/(kB*E160)))</f>
        <v>0.0610130030830191</v>
      </c>
    </row>
    <row r="161" customFormat="false" ht="15" hidden="false" customHeight="false" outlineLevel="0" collapsed="false">
      <c r="E161" s="20" t="n">
        <v>17300</v>
      </c>
      <c r="F161" s="17" t="n">
        <f aca="false">(2*PI()*mE*kB*E161/hP^2)^1.5*EXP(-13.598*eV/(kB*E161))/($B$7/(kB*E161))/(1+(2*PI()*mE*kB*E161/hP^2)^1.5*EXP(-13.598*eV/(kB*E161))/($B$7/(kB*E161)))</f>
        <v>0.999860609010955</v>
      </c>
      <c r="G161" s="17" t="n">
        <f aca="false">100000*(4*EXP(-10.199*eV/(kB*E161)))/(1+4*EXP(-10.199*eV/(kB*E161)))/(1+(2*PI()*mE*kB*E161/hP^2)^1.5*EXP(-13.598*eV/(kB*E161))/($B$7/(kB*E161)))</f>
        <v>0.0593339834126952</v>
      </c>
    </row>
    <row r="162" customFormat="false" ht="15" hidden="false" customHeight="false" outlineLevel="0" collapsed="false">
      <c r="E162" s="20" t="n">
        <v>17400</v>
      </c>
      <c r="F162" s="17" t="n">
        <f aca="false">(2*PI()*mE*kB*E162/hP^2)^1.5*EXP(-13.598*eV/(kB*E162))/($B$7/(kB*E162))/(1+(2*PI()*mE*kB*E162/hP^2)^1.5*EXP(-13.598*eV/(kB*E162))/($B$7/(kB*E162)))</f>
        <v>0.999869618936012</v>
      </c>
      <c r="G162" s="17" t="n">
        <f aca="false">100000*(4*EXP(-10.199*eV/(kB*E162)))/(1+4*EXP(-10.199*eV/(kB*E162)))/(1+(2*PI()*mE*kB*E162/hP^2)^1.5*EXP(-13.598*eV/(kB*E162))/($B$7/(kB*E162)))</f>
        <v>0.0577144697754027</v>
      </c>
    </row>
    <row r="163" customFormat="false" ht="15" hidden="false" customHeight="false" outlineLevel="0" collapsed="false">
      <c r="E163" s="20" t="n">
        <v>17500</v>
      </c>
      <c r="F163" s="17" t="n">
        <f aca="false">(2*PI()*mE*kB*E163/hP^2)^1.5*EXP(-13.598*eV/(kB*E163))/($B$7/(kB*E163))/(1+(2*PI()*mE*kB*E163/hP^2)^1.5*EXP(-13.598*eV/(kB*E163))/($B$7/(kB*E163)))</f>
        <v>0.999877963399771</v>
      </c>
      <c r="G163" s="17" t="n">
        <f aca="false">100000*(4*EXP(-10.199*eV/(kB*E163)))/(1+4*EXP(-10.199*eV/(kB*E163)))/(1+(2*PI()*mE*kB*E163/hP^2)^1.5*EXP(-13.598*eV/(kB*E163))/($B$7/(kB*E163)))</f>
        <v>0.0561519009114656</v>
      </c>
    </row>
    <row r="164" customFormat="false" ht="15" hidden="false" customHeight="false" outlineLevel="0" collapsed="false">
      <c r="E164" s="20" t="n">
        <v>17600</v>
      </c>
      <c r="F164" s="17" t="n">
        <f aca="false">(2*PI()*mE*kB*E164/hP^2)^1.5*EXP(-13.598*eV/(kB*E164))/($B$7/(kB*E164))/(1+(2*PI()*mE*kB*E164/hP^2)^1.5*EXP(-13.598*eV/(kB*E164))/($B$7/(kB*E164)))</f>
        <v>0.999885697266043</v>
      </c>
      <c r="G164" s="17" t="n">
        <f aca="false">100000*(4*EXP(-10.199*eV/(kB*E164)))/(1+4*EXP(-10.199*eV/(kB*E164)))/(1+(2*PI()*mE*kB*E164/hP^2)^1.5*EXP(-13.598*eV/(kB*E164))/($B$7/(kB*E164)))</f>
        <v>0.0546438441370494</v>
      </c>
    </row>
    <row r="165" customFormat="false" ht="15" hidden="false" customHeight="false" outlineLevel="0" collapsed="false">
      <c r="E165" s="20" t="n">
        <v>17700</v>
      </c>
      <c r="F165" s="17" t="n">
        <f aca="false">(2*PI()*mE*kB*E165/hP^2)^1.5*EXP(-13.598*eV/(kB*E165))/($B$7/(kB*E165))/(1+(2*PI()*mE*kB*E165/hP^2)^1.5*EXP(-13.598*eV/(kB*E165))/($B$7/(kB*E165)))</f>
        <v>0.999892870430482</v>
      </c>
      <c r="G165" s="17" t="n">
        <f aca="false">100000*(4*EXP(-10.199*eV/(kB*E165)))/(1+4*EXP(-10.199*eV/(kB*E165)))/(1+(2*PI()*mE*kB*E165/hP^2)^1.5*EXP(-13.598*eV/(kB*E165))/($B$7/(kB*E165)))</f>
        <v>0.0531879880289792</v>
      </c>
    </row>
    <row r="166" customFormat="false" ht="15" hidden="false" customHeight="false" outlineLevel="0" collapsed="false">
      <c r="E166" s="20" t="n">
        <v>17800</v>
      </c>
      <c r="F166" s="17" t="n">
        <f aca="false">(2*PI()*mE*kB*E166/hP^2)^1.5*EXP(-13.598*eV/(kB*E166))/($B$7/(kB*E166))/(1+(2*PI()*mE*kB*E166/hP^2)^1.5*EXP(-13.598*eV/(kB*E166))/($B$7/(kB*E166)))</f>
        <v>0.999899528308852</v>
      </c>
      <c r="G166" s="17" t="n">
        <f aca="false">100000*(4*EXP(-10.199*eV/(kB*E166)))/(1+4*EXP(-10.199*eV/(kB*E166)))/(1+(2*PI()*mE*kB*E166/hP^2)^1.5*EXP(-13.598*eV/(kB*E166))/($B$7/(kB*E166)))</f>
        <v>0.0517821355707021</v>
      </c>
    </row>
    <row r="167" customFormat="false" ht="15" hidden="false" customHeight="false" outlineLevel="0" collapsed="false">
      <c r="E167" s="20" t="n">
        <v>17900</v>
      </c>
      <c r="F167" s="17" t="n">
        <f aca="false">(2*PI()*mE*kB*E167/hP^2)^1.5*EXP(-13.598*eV/(kB*E167))/($B$7/(kB*E167))/(1+(2*PI()*mE*kB*E167/hP^2)^1.5*EXP(-13.598*eV/(kB*E167))/($B$7/(kB*E167)))</f>
        <v>0.999905712273692</v>
      </c>
      <c r="G167" s="17" t="n">
        <f aca="false">100000*(4*EXP(-10.199*eV/(kB*E167)))/(1+4*EXP(-10.199*eV/(kB*E167)))/(1+(2*PI()*mE*kB*E167/hP^2)^1.5*EXP(-13.598*eV/(kB*E167))/($B$7/(kB*E167)))</f>
        <v>0.0504241977278525</v>
      </c>
    </row>
    <row r="168" customFormat="false" ht="15" hidden="false" customHeight="false" outlineLevel="0" collapsed="false">
      <c r="E168" s="20" t="n">
        <v>18000</v>
      </c>
      <c r="F168" s="17" t="n">
        <f aca="false">(2*PI()*mE*kB*E168/hP^2)^1.5*EXP(-13.598*eV/(kB*E168))/($B$7/(kB*E168))/(1+(2*PI()*mE*kB*E168/hP^2)^1.5*EXP(-13.598*eV/(kB*E168))/($B$7/(kB*E168)))</f>
        <v>0.999911460045213</v>
      </c>
      <c r="G168" s="17" t="n">
        <f aca="false">100000*(4*EXP(-10.199*eV/(kB*E168)))/(1+4*EXP(-10.199*eV/(kB*E168)))/(1+(2*PI()*mE*kB*E168/hP^2)^1.5*EXP(-13.598*eV/(kB*E168))/($B$7/(kB*E168)))</f>
        <v>0.0491121874241649</v>
      </c>
    </row>
    <row r="169" customFormat="false" ht="15" hidden="false" customHeight="false" outlineLevel="0" collapsed="false">
      <c r="E169" s="20" t="n">
        <v>18100</v>
      </c>
      <c r="F169" s="17" t="n">
        <f aca="false">(2*PI()*mE*kB*E169/hP^2)^1.5*EXP(-13.598*eV/(kB*E169))/($B$7/(kB*E169))/(1+(2*PI()*mE*kB*E169/hP^2)^1.5*EXP(-13.598*eV/(kB*E169))/($B$7/(kB*E169)))</f>
        <v>0.999916806041525</v>
      </c>
      <c r="G169" s="17" t="n">
        <f aca="false">100000*(4*EXP(-10.199*eV/(kB*E169)))/(1+4*EXP(-10.199*eV/(kB*E169)))/(1+(2*PI()*mE*kB*E169/hP^2)^1.5*EXP(-13.598*eV/(kB*E169))/($B$7/(kB*E169)))</f>
        <v>0.0478442138905954</v>
      </c>
    </row>
    <row r="170" customFormat="false" ht="15" hidden="false" customHeight="false" outlineLevel="0" collapsed="false">
      <c r="E170" s="20" t="n">
        <v>18200</v>
      </c>
      <c r="F170" s="17" t="n">
        <f aca="false">(2*PI()*mE*kB*E170/hP^2)^1.5*EXP(-13.598*eV/(kB*E170))/($B$7/(kB*E170))/(1+(2*PI()*mE*kB*E170/hP^2)^1.5*EXP(-13.598*eV/(kB*E170))/($B$7/(kB*E170)))</f>
        <v>0.999921781692734</v>
      </c>
      <c r="G170" s="17" t="n">
        <f aca="false">100000*(4*EXP(-10.199*eV/(kB*E170)))/(1+4*EXP(-10.199*eV/(kB*E170)))/(1+(2*PI()*mE*kB*E170/hP^2)^1.5*EXP(-13.598*eV/(kB*E170))/($B$7/(kB*E170)))</f>
        <v>0.0466184773624671</v>
      </c>
    </row>
    <row r="171" customFormat="false" ht="15" hidden="false" customHeight="false" outlineLevel="0" collapsed="false">
      <c r="E171" s="20" t="n">
        <v>18300</v>
      </c>
      <c r="F171" s="17" t="n">
        <f aca="false">(2*PI()*mE*kB*E171/hP^2)^1.5*EXP(-13.598*eV/(kB*E171))/($B$7/(kB*E171))/(1+(2*PI()*mE*kB*E171/hP^2)^1.5*EXP(-13.598*eV/(kB*E171))/($B$7/(kB*E171)))</f>
        <v>0.999926415722872</v>
      </c>
      <c r="G171" s="17" t="n">
        <f aca="false">100000*(4*EXP(-10.199*eV/(kB*E171)))/(1+4*EXP(-10.199*eV/(kB*E171)))/(1+(2*PI()*mE*kB*E171/hP^2)^1.5*EXP(-13.598*eV/(kB*E171))/($B$7/(kB*E171)))</f>
        <v>0.0454332641012752</v>
      </c>
    </row>
    <row r="172" customFormat="false" ht="15" hidden="false" customHeight="false" outlineLevel="0" collapsed="false">
      <c r="E172" s="20" t="n">
        <v>18400</v>
      </c>
      <c r="F172" s="17" t="n">
        <f aca="false">(2*PI()*mE*kB*E172/hP^2)^1.5*EXP(-13.598*eV/(kB*E172))/($B$7/(kB*E172))/(1+(2*PI()*mE*kB*E172/hP^2)^1.5*EXP(-13.598*eV/(kB*E172))/($B$7/(kB*E172)))</f>
        <v>0.999930734403196</v>
      </c>
      <c r="G172" s="17" t="n">
        <f aca="false">100000*(4*EXP(-10.199*eV/(kB*E172)))/(1+4*EXP(-10.199*eV/(kB*E172)))/(1+(2*PI()*mE*kB*E172/hP^2)^1.5*EXP(-13.598*eV/(kB*E172))/($B$7/(kB*E172)))</f>
        <v>0.0442869417194562</v>
      </c>
    </row>
    <row r="173" customFormat="false" ht="15" hidden="false" customHeight="false" outlineLevel="0" collapsed="false">
      <c r="E173" s="20" t="n">
        <v>18500</v>
      </c>
      <c r="F173" s="17" t="n">
        <f aca="false">(2*PI()*mE*kB*E173/hP^2)^1.5*EXP(-13.598*eV/(kB*E173))/($B$7/(kB*E173))/(1+(2*PI()*mE*kB*E173/hP^2)^1.5*EXP(-13.598*eV/(kB*E173))/($B$7/(kB*E173)))</f>
        <v>0.999934761779949</v>
      </c>
      <c r="G173" s="17" t="n">
        <f aca="false">100000*(4*EXP(-10.199*eV/(kB*E173)))/(1+4*EXP(-10.199*eV/(kB*E173)))/(1+(2*PI()*mE*kB*E173/hP^2)^1.5*EXP(-13.598*eV/(kB*E173))/($B$7/(kB*E173)))</f>
        <v>0.0431779547879829</v>
      </c>
    </row>
    <row r="174" customFormat="false" ht="15" hidden="false" customHeight="false" outlineLevel="0" collapsed="false">
      <c r="E174" s="20" t="n">
        <v>18600</v>
      </c>
      <c r="F174" s="17" t="n">
        <f aca="false">(2*PI()*mE*kB*E174/hP^2)^1.5*EXP(-13.598*eV/(kB*E174))/($B$7/(kB*E174))/(1+(2*PI()*mE*kB*E174/hP^2)^1.5*EXP(-13.598*eV/(kB*E174))/($B$7/(kB*E174)))</f>
        <v>0.999938519879338</v>
      </c>
      <c r="G174" s="17" t="n">
        <f aca="false">100000*(4*EXP(-10.199*eV/(kB*E174)))/(1+4*EXP(-10.199*eV/(kB*E174)))/(1+(2*PI()*mE*kB*E174/hP^2)^1.5*EXP(-13.598*eV/(kB*E174))/($B$7/(kB*E174)))</f>
        <v>0.0421048207080808</v>
      </c>
    </row>
    <row r="175" customFormat="false" ht="15" hidden="false" customHeight="false" outlineLevel="0" collapsed="false">
      <c r="E175" s="20" t="n">
        <v>18700</v>
      </c>
      <c r="F175" s="17" t="n">
        <f aca="false">(2*PI()*mE*kB*E175/hP^2)^1.5*EXP(-13.598*eV/(kB*E175))/($B$7/(kB*E175))/(1+(2*PI()*mE*kB*E175/hP^2)^1.5*EXP(-13.598*eV/(kB*E175))/($B$7/(kB*E175)))</f>
        <v>0.999942028892176</v>
      </c>
      <c r="G175" s="17" t="n">
        <f aca="false">100000*(4*EXP(-10.199*eV/(kB*E175)))/(1+4*EXP(-10.199*eV/(kB*E175)))/(1+(2*PI()*mE*kB*E175/hP^2)^1.5*EXP(-13.598*eV/(kB*E175))/($B$7/(kB*E175)))</f>
        <v>0.0410661258296883</v>
      </c>
    </row>
    <row r="176" customFormat="false" ht="15" hidden="false" customHeight="false" outlineLevel="0" collapsed="false">
      <c r="E176" s="20" t="n">
        <v>18800</v>
      </c>
      <c r="F176" s="17" t="n">
        <f aca="false">(2*PI()*mE*kB*E176/hP^2)^1.5*EXP(-13.598*eV/(kB*E176))/($B$7/(kB*E176))/(1+(2*PI()*mE*kB*E176/hP^2)^1.5*EXP(-13.598*eV/(kB*E176))/($B$7/(kB*E176)))</f>
        <v>0.999945307340326</v>
      </c>
      <c r="G176" s="17" t="n">
        <f aca="false">100000*(4*EXP(-10.199*eV/(kB*E176)))/(1+4*EXP(-10.199*eV/(kB*E176)))/(1+(2*PI()*mE*kB*E176/hP^2)^1.5*EXP(-13.598*eV/(kB*E176))/($B$7/(kB*E176)))</f>
        <v>0.0400605218005161</v>
      </c>
    </row>
    <row r="177" customFormat="false" ht="15" hidden="false" customHeight="false" outlineLevel="0" collapsed="false">
      <c r="E177" s="20" t="n">
        <v>18900</v>
      </c>
      <c r="F177" s="17" t="n">
        <f aca="false">(2*PI()*mE*kB*E177/hP^2)^1.5*EXP(-13.598*eV/(kB*E177))/($B$7/(kB*E177))/(1+(2*PI()*mE*kB*E177/hP^2)^1.5*EXP(-13.598*eV/(kB*E177))/($B$7/(kB*E177)))</f>
        <v>0.99994837222688</v>
      </c>
      <c r="G177" s="17" t="n">
        <f aca="false">100000*(4*EXP(-10.199*eV/(kB*E177)))/(1+4*EXP(-10.199*eV/(kB*E177)))/(1+(2*PI()*mE*kB*E177/hP^2)^1.5*EXP(-13.598*eV/(kB*E177))/($B$7/(kB*E177)))</f>
        <v>0.0390867221306944</v>
      </c>
    </row>
    <row r="178" customFormat="false" ht="15" hidden="false" customHeight="false" outlineLevel="0" collapsed="false">
      <c r="E178" s="20" t="n">
        <v>19000</v>
      </c>
      <c r="F178" s="17" t="n">
        <f aca="false">(2*PI()*mE*kB*E178/hP^2)^1.5*EXP(-13.598*eV/(kB*E178))/($B$7/(kB*E178))/(1+(2*PI()*mE*kB*E178/hP^2)^1.5*EXP(-13.598*eV/(kB*E178))/($B$7/(kB*E178)))</f>
        <v>0.99995123917177</v>
      </c>
      <c r="G178" s="17" t="n">
        <f aca="false">100000*(4*EXP(-10.199*eV/(kB*E178)))/(1+4*EXP(-10.199*eV/(kB*E178)))/(1+(2*PI()*mE*kB*E178/hP^2)^1.5*EXP(-13.598*eV/(kB*E178))/($B$7/(kB*E178)))</f>
        <v>0.0381434989590527</v>
      </c>
    </row>
    <row r="179" customFormat="false" ht="15" hidden="false" customHeight="false" outlineLevel="0" collapsed="false">
      <c r="E179" s="20" t="n">
        <v>19100</v>
      </c>
      <c r="F179" s="17" t="n">
        <f aca="false">(2*PI()*mE*kB*E179/hP^2)^1.5*EXP(-13.598*eV/(kB*E179))/($B$7/(kB*E179))/(1+(2*PI()*mE*kB*E179/hP^2)^1.5*EXP(-13.598*eV/(kB*E179))/($B$7/(kB*E179)))</f>
        <v>0.999953922534321</v>
      </c>
      <c r="G179" s="17" t="n">
        <f aca="false">100000*(4*EXP(-10.199*eV/(kB*E179)))/(1+4*EXP(-10.199*eV/(kB*E179)))/(1+(2*PI()*mE*kB*E179/hP^2)^1.5*EXP(-13.598*eV/(kB*E179))/($B$7/(kB*E179)))</f>
        <v>0.0372296800080509</v>
      </c>
    </row>
    <row r="180" customFormat="false" ht="15" hidden="false" customHeight="false" outlineLevel="0" collapsed="false">
      <c r="E180" s="20" t="n">
        <v>19200</v>
      </c>
      <c r="F180" s="17" t="n">
        <f aca="false">(2*PI()*mE*kB*E180/hP^2)^1.5*EXP(-13.598*eV/(kB*E180))/($B$7/(kB*E180))/(1+(2*PI()*mE*kB*E180/hP^2)^1.5*EXP(-13.598*eV/(kB*E180))/($B$7/(kB*E180)))</f>
        <v>0.999956435524084</v>
      </c>
      <c r="G180" s="17" t="n">
        <f aca="false">100000*(4*EXP(-10.199*eV/(kB*E180)))/(1+4*EXP(-10.199*eV/(kB*E180)))/(1+(2*PI()*mE*kB*E180/hP^2)^1.5*EXP(-13.598*eV/(kB*E180))/($B$7/(kB*E180)))</f>
        <v>0.036344145715281</v>
      </c>
    </row>
    <row r="181" customFormat="false" ht="15" hidden="false" customHeight="false" outlineLevel="0" collapsed="false">
      <c r="E181" s="20" t="n">
        <v>19300</v>
      </c>
      <c r="F181" s="17" t="n">
        <f aca="false">(2*PI()*mE*kB*E181/hP^2)^1.5*EXP(-13.598*eV/(kB*E181))/($B$7/(kB*E181))/(1+(2*PI()*mE*kB*E181/hP^2)^1.5*EXP(-13.598*eV/(kB*E181))/($B$7/(kB*E181)))</f>
        <v>0.999958790301171</v>
      </c>
      <c r="G181" s="17" t="n">
        <f aca="false">100000*(4*EXP(-10.199*eV/(kB*E181)))/(1+4*EXP(-10.199*eV/(kB*E181)))/(1+(2*PI()*mE*kB*E181/hP^2)^1.5*EXP(-13.598*eV/(kB*E181))/($B$7/(kB*E181)))</f>
        <v>0.035485826530298</v>
      </c>
    </row>
    <row r="182" customFormat="false" ht="15" hidden="false" customHeight="false" outlineLevel="0" collapsed="false">
      <c r="E182" s="20" t="n">
        <v>19400</v>
      </c>
      <c r="F182" s="17" t="n">
        <f aca="false">(2*PI()*mE*kB*E182/hP^2)^1.5*EXP(-13.598*eV/(kB*E182))/($B$7/(kB*E182))/(1+(2*PI()*mE*kB*E182/hP^2)^1.5*EXP(-13.598*eV/(kB*E182))/($B$7/(kB*E182)))</f>
        <v>0.999960998067126</v>
      </c>
      <c r="G182" s="17" t="n">
        <f aca="false">100000*(4*EXP(-10.199*eV/(kB*E182)))/(1+4*EXP(-10.199*eV/(kB*E182)))/(1+(2*PI()*mE*kB*E182/hP^2)^1.5*EXP(-13.598*eV/(kB*E182))/($B$7/(kB*E182)))</f>
        <v>0.0346537003663112</v>
      </c>
    </row>
    <row r="183" customFormat="false" ht="15" hidden="false" customHeight="false" outlineLevel="0" collapsed="false">
      <c r="E183" s="20" t="n">
        <v>19500</v>
      </c>
      <c r="F183" s="17" t="n">
        <f aca="false">(2*PI()*mE*kB*E183/hP^2)^1.5*EXP(-13.598*eV/(kB*E183))/($B$7/(kB*E183))/(1+(2*PI()*mE*kB*E183/hP^2)^1.5*EXP(-13.598*eV/(kB*E183))/($B$7/(kB*E183)))</f>
        <v>0.999963069147314</v>
      </c>
      <c r="G183" s="17" t="n">
        <f aca="false">100000*(4*EXP(-10.199*eV/(kB*E183)))/(1+4*EXP(-10.199*eV/(kB*E183)))/(1+(2*PI()*mE*kB*E183/hP^2)^1.5*EXP(-13.598*eV/(kB*E183))/($B$7/(kB*E183)))</f>
        <v>0.0338467901969831</v>
      </c>
    </row>
    <row r="184" customFormat="false" ht="15" hidden="false" customHeight="false" outlineLevel="0" collapsed="false">
      <c r="E184" s="20" t="n">
        <v>19600</v>
      </c>
      <c r="F184" s="17" t="n">
        <f aca="false">(2*PI()*mE*kB*E184/hP^2)^1.5*EXP(-13.598*eV/(kB*E184))/($B$7/(kB*E184))/(1+(2*PI()*mE*kB*E184/hP^2)^1.5*EXP(-13.598*eV/(kB*E184))/($B$7/(kB*E184)))</f>
        <v>0.999965013065661</v>
      </c>
      <c r="G184" s="17" t="n">
        <f aca="false">100000*(4*EXP(-10.199*eV/(kB*E184)))/(1+4*EXP(-10.199*eV/(kB*E184)))/(1+(2*PI()*mE*kB*E184/hP^2)^1.5*EXP(-13.598*eV/(kB*E184))/($B$7/(kB*E184)))</f>
        <v>0.0330641617892529</v>
      </c>
    </row>
    <row r="185" customFormat="false" ht="15" hidden="false" customHeight="false" outlineLevel="0" collapsed="false">
      <c r="E185" s="20" t="n">
        <v>19700</v>
      </c>
      <c r="F185" s="17" t="n">
        <f aca="false">(2*PI()*mE*kB*E185/hP^2)^1.5*EXP(-13.598*eV/(kB*E185))/($B$7/(kB*E185))/(1+(2*PI()*mE*kB*E185/hP^2)^1.5*EXP(-13.598*eV/(kB*E185))/($B$7/(kB*E185)))</f>
        <v>0.999966838612512</v>
      </c>
      <c r="G185" s="17" t="n">
        <f aca="false">100000*(4*EXP(-10.199*eV/(kB*E185)))/(1+4*EXP(-10.199*eV/(kB*E185)))/(1+(2*PI()*mE*kB*E185/hP^2)^1.5*EXP(-13.598*eV/(kB*E185))/($B$7/(kB*E185)))</f>
        <v>0.0323049215637125</v>
      </c>
    </row>
    <row r="186" customFormat="false" ht="15" hidden="false" customHeight="false" outlineLevel="0" collapsed="false">
      <c r="E186" s="20" t="n">
        <v>19800</v>
      </c>
      <c r="F186" s="17" t="n">
        <f aca="false">(2*PI()*mE*kB*E186/hP^2)^1.5*EXP(-13.598*eV/(kB*E186))/($B$7/(kB*E186))/(1+(2*PI()*mE*kB*E186/hP^2)^1.5*EXP(-13.598*eV/(kB*E186))/($B$7/(kB*E186)))</f>
        <v>0.99996855390628</v>
      </c>
      <c r="G186" s="17" t="n">
        <f aca="false">100000*(4*EXP(-10.199*eV/(kB*E186)))/(1+4*EXP(-10.199*eV/(kB*E186)))/(1+(2*PI()*mE*kB*E186/hP^2)^1.5*EXP(-13.598*eV/(kB*E186))/($B$7/(kB*E186)))</f>
        <v>0.0315682145746401</v>
      </c>
    </row>
    <row r="187" customFormat="false" ht="15" hidden="false" customHeight="false" outlineLevel="0" collapsed="false">
      <c r="E187" s="20" t="n">
        <v>19900</v>
      </c>
      <c r="F187" s="17" t="n">
        <f aca="false">(2*PI()*mE*kB*E187/hP^2)^1.5*EXP(-13.598*eV/(kB*E187))/($B$7/(kB*E187))/(1+(2*PI()*mE*kB*E187/hP^2)^1.5*EXP(-13.598*eV/(kB*E187))/($B$7/(kB*E187)))</f>
        <v>0.999970166449505</v>
      </c>
      <c r="G187" s="17" t="n">
        <f aca="false">100000*(4*EXP(-10.199*eV/(kB*E187)))/(1+4*EXP(-10.199*eV/(kB*E187)))/(1+(2*PI()*mE*kB*E187/hP^2)^1.5*EXP(-13.598*eV/(kB*E187))/($B$7/(kB*E187)))</f>
        <v>0.0308532226023229</v>
      </c>
    </row>
    <row r="188" customFormat="false" ht="15" hidden="false" customHeight="false" outlineLevel="0" collapsed="false">
      <c r="E188" s="20" t="n">
        <v>20000</v>
      </c>
      <c r="F188" s="17" t="n">
        <f aca="false">(2*PI()*mE*kB*E188/hP^2)^1.5*EXP(-13.598*eV/(kB*E188))/($B$7/(kB*E188))/(1+(2*PI()*mE*kB*E188/hP^2)^1.5*EXP(-13.598*eV/(kB*E188))/($B$7/(kB*E188)))</f>
        <v>0.999971683179852</v>
      </c>
      <c r="G188" s="17" t="n">
        <f aca="false">100000*(4*EXP(-10.199*eV/(kB*E188)))/(1+4*EXP(-10.199*eV/(kB*E188)))/(1+(2*PI()*mE*kB*E188/hP^2)^1.5*EXP(-13.598*eV/(kB*E188))/($B$7/(kB*E188)))</f>
        <v>0.0301591623507966</v>
      </c>
    </row>
    <row r="189" customFormat="false" ht="15" hidden="false" customHeight="false" outlineLevel="0" collapsed="false">
      <c r="E189" s="20" t="n">
        <v>20100</v>
      </c>
      <c r="F189" s="17" t="n">
        <f aca="false">(2*PI()*mE*kB*E189/hP^2)^1.5*EXP(-13.598*eV/(kB*E189))/($B$7/(kB*E189))/(1+(2*PI()*mE*kB*E189/hP^2)^1.5*EXP(-13.598*eV/(kB*E189))/($B$7/(kB*E189)))</f>
        <v>0.999973110516551</v>
      </c>
      <c r="G189" s="17" t="n">
        <f aca="false">100000*(4*EXP(-10.199*eV/(kB*E189)))/(1+4*EXP(-10.199*eV/(kB*E189)))/(1+(2*PI()*mE*kB*E189/hP^2)^1.5*EXP(-13.598*eV/(kB*E189))/($B$7/(kB*E189)))</f>
        <v>0.0294852837445838</v>
      </c>
    </row>
    <row r="190" customFormat="false" ht="15" hidden="false" customHeight="false" outlineLevel="0" collapsed="false">
      <c r="E190" s="20" t="n">
        <v>20200</v>
      </c>
      <c r="F190" s="17" t="n">
        <f aca="false">(2*PI()*mE*kB*E190/hP^2)^1.5*EXP(-13.598*eV/(kB*E190))/($B$7/(kB*E190))/(1+(2*PI()*mE*kB*E190/hP^2)^1.5*EXP(-13.598*eV/(kB*E190))/($B$7/(kB*E190)))</f>
        <v>0.999974454402708</v>
      </c>
      <c r="G190" s="17" t="n">
        <f aca="false">100000*(4*EXP(-10.199*eV/(kB*E190)))/(1+4*EXP(-10.199*eV/(kB*E190)))/(1+(2*PI()*mE*kB*E190/hP^2)^1.5*EXP(-13.598*eV/(kB*E190))/($B$7/(kB*E190)))</f>
        <v>0.0288308683184389</v>
      </c>
    </row>
    <row r="191" customFormat="false" ht="15" hidden="false" customHeight="false" outlineLevel="0" collapsed="false">
      <c r="E191" s="20" t="n">
        <v>20300</v>
      </c>
      <c r="F191" s="17" t="n">
        <f aca="false">(2*PI()*mE*kB*E191/hP^2)^1.5*EXP(-13.598*eV/(kB*E191))/($B$7/(kB*E191))/(1+(2*PI()*mE*kB*E191/hP^2)^1.5*EXP(-13.598*eV/(kB*E191))/($B$7/(kB*E191)))</f>
        <v>0.999975720343884</v>
      </c>
      <c r="G191" s="17" t="n">
        <f aca="false">100000*(4*EXP(-10.199*eV/(kB*E191)))/(1+4*EXP(-10.199*eV/(kB*E191)))/(1+(2*PI()*mE*kB*E191/hP^2)^1.5*EXP(-13.598*eV/(kB*E191))/($B$7/(kB*E191)))</f>
        <v>0.0281952276945018</v>
      </c>
    </row>
    <row r="192" customFormat="false" ht="15" hidden="false" customHeight="false" outlineLevel="0" collapsed="false">
      <c r="E192" s="20" t="n">
        <v>20400</v>
      </c>
      <c r="F192" s="17" t="n">
        <f aca="false">(2*PI()*mE*kB*E192/hP^2)^1.5*EXP(-13.598*eV/(kB*E192))/($B$7/(kB*E192))/(1+(2*PI()*mE*kB*E192/hP^2)^1.5*EXP(-13.598*eV/(kB*E192))/($B$7/(kB*E192)))</f>
        <v>0.999976913443292</v>
      </c>
      <c r="G192" s="17" t="n">
        <f aca="false">100000*(4*EXP(-10.199*eV/(kB*E192)))/(1+4*EXP(-10.199*eV/(kB*E192)))/(1+(2*PI()*mE*kB*E192/hP^2)^1.5*EXP(-13.598*eV/(kB*E192))/($B$7/(kB*E192)))</f>
        <v>0.0275777021416298</v>
      </c>
    </row>
    <row r="193" customFormat="false" ht="15" hidden="false" customHeight="false" outlineLevel="0" collapsed="false">
      <c r="E193" s="20" t="n">
        <v>20500</v>
      </c>
      <c r="F193" s="17" t="n">
        <f aca="false">(2*PI()*mE*kB*E193/hP^2)^1.5*EXP(-13.598*eV/(kB*E193))/($B$7/(kB*E193))/(1+(2*PI()*mE*kB*E193/hP^2)^1.5*EXP(-13.598*eV/(kB*E193))/($B$7/(kB*E193)))</f>
        <v>0.999978038433932</v>
      </c>
      <c r="G193" s="17" t="n">
        <f aca="false">100000*(4*EXP(-10.199*eV/(kB*E193)))/(1+4*EXP(-10.199*eV/(kB*E193)))/(1+(2*PI()*mE*kB*E193/hP^2)^1.5*EXP(-13.598*eV/(kB*E193))/($B$7/(kB*E193)))</f>
        <v>0.0269776592120152</v>
      </c>
    </row>
    <row r="194" customFormat="false" ht="15" hidden="false" customHeight="false" outlineLevel="0" collapsed="false">
      <c r="E194" s="20" t="n">
        <v>20600</v>
      </c>
      <c r="F194" s="17" t="n">
        <f aca="false">(2*PI()*mE*kB*E194/hP^2)^1.5*EXP(-13.598*eV/(kB*E194))/($B$7/(kB*E194))/(1+(2*PI()*mE*kB*E194/hP^2)^1.5*EXP(-13.598*eV/(kB*E194))/($B$7/(kB*E194)))</f>
        <v>0.999979099707954</v>
      </c>
      <c r="G194" s="17" t="n">
        <f aca="false">100000*(4*EXP(-10.199*eV/(kB*E194)))/(1+4*EXP(-10.199*eV/(kB*E194)))/(1+(2*PI()*mE*kB*E194/hP^2)^1.5*EXP(-13.598*eV/(kB*E194))/($B$7/(kB*E194)))</f>
        <v>0.026394492450517</v>
      </c>
    </row>
    <row r="195" customFormat="false" ht="15" hidden="false" customHeight="false" outlineLevel="0" collapsed="false">
      <c r="E195" s="20" t="n">
        <v>20700</v>
      </c>
      <c r="F195" s="17" t="n">
        <f aca="false">(2*PI()*mE*kB*E195/hP^2)^1.5*EXP(-13.598*eV/(kB*E195))/($B$7/(kB*E195))/(1+(2*PI()*mE*kB*E195/hP^2)^1.5*EXP(-13.598*eV/(kB*E195))/($B$7/(kB*E195)))</f>
        <v>0.999980101343494</v>
      </c>
      <c r="G195" s="17" t="n">
        <f aca="false">100000*(4*EXP(-10.199*eV/(kB*E195)))/(1+4*EXP(-10.199*eV/(kB*E195)))/(1+(2*PI()*mE*kB*E195/hP^2)^1.5*EXP(-13.598*eV/(kB*E195))/($B$7/(kB*E195)))</f>
        <v>0.0258276201724263</v>
      </c>
    </row>
    <row r="196" customFormat="false" ht="15" hidden="false" customHeight="false" outlineLevel="0" collapsed="false">
      <c r="E196" s="20" t="n">
        <v>20800</v>
      </c>
      <c r="F196" s="17" t="n">
        <f aca="false">(2*PI()*mE*kB*E196/hP^2)^1.5*EXP(-13.598*eV/(kB*E196))/($B$7/(kB*E196))/(1+(2*PI()*mE*kB*E196/hP^2)^1.5*EXP(-13.598*eV/(kB*E196))/($B$7/(kB*E196)))</f>
        <v>0.999981047129227</v>
      </c>
      <c r="G196" s="17" t="n">
        <f aca="false">100000*(4*EXP(-10.199*eV/(kB*E196)))/(1+4*EXP(-10.199*eV/(kB*E196)))/(1+(2*PI()*mE*kB*E196/hP^2)^1.5*EXP(-13.598*eV/(kB*E196))/($B$7/(kB*E196)))</f>
        <v>0.0252764843056609</v>
      </c>
    </row>
    <row r="197" customFormat="false" ht="15" hidden="false" customHeight="false" outlineLevel="0" collapsed="false">
      <c r="E197" s="20" t="n">
        <v>20900</v>
      </c>
      <c r="F197" s="17" t="n">
        <f aca="false">(2*PI()*mE*kB*E197/hP^2)^1.5*EXP(-13.598*eV/(kB*E197))/($B$7/(kB*E197))/(1+(2*PI()*mE*kB*E197/hP^2)^1.5*EXP(-13.598*eV/(kB*E197))/($B$7/(kB*E197)))</f>
        <v>0.999981940586846</v>
      </c>
      <c r="G197" s="17" t="n">
        <f aca="false">100000*(4*EXP(-10.199*eV/(kB*E197)))/(1+4*EXP(-10.199*eV/(kB*E197)))/(1+(2*PI()*mE*kB*E197/hP^2)^1.5*EXP(-13.598*eV/(kB*E197))/($B$7/(kB*E197)))</f>
        <v>0.0247405492936407</v>
      </c>
    </row>
    <row r="198" customFormat="false" ht="15" hidden="false" customHeight="false" outlineLevel="0" collapsed="false">
      <c r="E198" s="20" t="n">
        <v>21000</v>
      </c>
      <c r="F198" s="17" t="n">
        <f aca="false">(2*PI()*mE*kB*E198/hP^2)^1.5*EXP(-13.598*eV/(kB*E198))/($B$7/(kB*E198))/(1+(2*PI()*mE*kB*E198/hP^2)^1.5*EXP(-13.598*eV/(kB*E198))/($B$7/(kB*E198)))</f>
        <v>0.999982784991644</v>
      </c>
      <c r="G198" s="17" t="n">
        <f aca="false">100000*(4*EXP(-10.199*eV/(kB*E198)))/(1+4*EXP(-10.199*eV/(kB*E198)))/(1+(2*PI()*mE*kB*E198/hP^2)^1.5*EXP(-13.598*eV/(kB*E198))/($B$7/(kB*E198)))</f>
        <v>0.0242193010553313</v>
      </c>
    </row>
    <row r="199" customFormat="false" ht="15" hidden="false" customHeight="false" outlineLevel="0" collapsed="false">
      <c r="E199" s="20" t="n">
        <v>21100</v>
      </c>
      <c r="F199" s="17" t="n">
        <f aca="false">(2*PI()*mE*kB*E199/hP^2)^1.5*EXP(-13.598*eV/(kB*E199))/($B$7/(kB*E199))/(1+(2*PI()*mE*kB*E199/hP^2)^1.5*EXP(-13.598*eV/(kB*E199))/($B$7/(kB*E199)))</f>
        <v>0.999983583391382</v>
      </c>
      <c r="G199" s="17" t="n">
        <f aca="false">100000*(4*EXP(-10.199*eV/(kB*E199)))/(1+4*EXP(-10.199*eV/(kB*E199)))/(1+(2*PI()*mE*kB*E199/hP^2)^1.5*EXP(-13.598*eV/(kB*E199))/($B$7/(kB*E199)))</f>
        <v>0.0237122459991669</v>
      </c>
    </row>
    <row r="200" customFormat="false" ht="15" hidden="false" customHeight="false" outlineLevel="0" collapsed="false">
      <c r="E200" s="20" t="n">
        <v>21200</v>
      </c>
      <c r="F200" s="17" t="n">
        <f aca="false">(2*PI()*mE*kB*E200/hP^2)^1.5*EXP(-13.598*eV/(kB*E200))/($B$7/(kB*E200))/(1+(2*PI()*mE*kB*E200/hP^2)^1.5*EXP(-13.598*eV/(kB*E200))/($B$7/(kB*E200)))</f>
        <v>0.999984338623593</v>
      </c>
      <c r="G200" s="17" t="n">
        <f aca="false">100000*(4*EXP(-10.199*eV/(kB*E200)))/(1+4*EXP(-10.199*eV/(kB*E200)))/(1+(2*PI()*mE*kB*E200/hP^2)^1.5*EXP(-13.598*eV/(kB*E200))/($B$7/(kB*E200)))</f>
        <v>0.0232189100877685</v>
      </c>
    </row>
    <row r="201" customFormat="false" ht="15" hidden="false" customHeight="false" outlineLevel="0" collapsed="false">
      <c r="E201" s="20" t="n">
        <v>21300</v>
      </c>
      <c r="F201" s="17" t="n">
        <f aca="false">(2*PI()*mE*kB*E201/hP^2)^1.5*EXP(-13.598*eV/(kB*E201))/($B$7/(kB*E201))/(1+(2*PI()*mE*kB*E201/hP^2)^1.5*EXP(-13.598*eV/(kB*E201))/($B$7/(kB*E201)))</f>
        <v>0.999985053331456</v>
      </c>
      <c r="G201" s="17" t="n">
        <f aca="false">100000*(4*EXP(-10.199*eV/(kB*E201)))/(1+4*EXP(-10.199*eV/(kB*E201)))/(1+(2*PI()*mE*kB*E201/hP^2)^1.5*EXP(-13.598*eV/(kB*E201))/($B$7/(kB*E201)))</f>
        <v>0.022738837950567</v>
      </c>
    </row>
    <row r="202" customFormat="false" ht="15" hidden="false" customHeight="false" outlineLevel="0" collapsed="false">
      <c r="E202" s="20" t="n">
        <v>21400</v>
      </c>
      <c r="F202" s="17" t="n">
        <f aca="false">(2*PI()*mE*kB*E202/hP^2)^1.5*EXP(-13.598*eV/(kB*E202))/($B$7/(kB*E202))/(1+(2*PI()*mE*kB*E202/hP^2)^1.5*EXP(-13.598*eV/(kB*E202))/($B$7/(kB*E202)))</f>
        <v>0.999985729978378</v>
      </c>
      <c r="G202" s="17" t="n">
        <f aca="false">100000*(4*EXP(-10.199*eV/(kB*E202)))/(1+4*EXP(-10.199*eV/(kB*E202)))/(1+(2*PI()*mE*kB*E202/hP^2)^1.5*EXP(-13.598*eV/(kB*E202))/($B$7/(kB*E202)))</f>
        <v>0.0222715920416196</v>
      </c>
    </row>
    <row r="203" customFormat="false" ht="15" hidden="false" customHeight="false" outlineLevel="0" collapsed="false">
      <c r="E203" s="20" t="n">
        <v>21500</v>
      </c>
      <c r="F203" s="17" t="n">
        <f aca="false">(2*PI()*mE*kB*E203/hP^2)^1.5*EXP(-13.598*eV/(kB*E203))/($B$7/(kB*E203))/(1+(2*PI()*mE*kB*E203/hP^2)^1.5*EXP(-13.598*eV/(kB*E203))/($B$7/(kB*E203)))</f>
        <v>0.999986370861386</v>
      </c>
      <c r="G203" s="17" t="n">
        <f aca="false">100000*(4*EXP(-10.199*eV/(kB*E203)))/(1+4*EXP(-10.199*eV/(kB*E203)))/(1+(2*PI()*mE*kB*E203/hP^2)^1.5*EXP(-13.598*eV/(kB*E203))/($B$7/(kB*E203)))</f>
        <v>0.0218167518400755</v>
      </c>
    </row>
    <row r="204" customFormat="false" ht="15" hidden="false" customHeight="false" outlineLevel="0" collapsed="false">
      <c r="E204" s="20" t="n">
        <v>21600</v>
      </c>
      <c r="F204" s="17" t="n">
        <f aca="false">(2*PI()*mE*kB*E204/hP^2)^1.5*EXP(-13.598*eV/(kB*E204))/($B$7/(kB*E204))/(1+(2*PI()*mE*kB*E204/hP^2)^1.5*EXP(-13.598*eV/(kB*E204))/($B$7/(kB*E204)))</f>
        <v>0.999986978123437</v>
      </c>
      <c r="G204" s="17" t="n">
        <f aca="false">100000*(4*EXP(-10.199*eV/(kB*E204)))/(1+4*EXP(-10.199*eV/(kB*E204)))/(1+(2*PI()*mE*kB*E204/hP^2)^1.5*EXP(-13.598*eV/(kB*E204))/($B$7/(kB*E204)))</f>
        <v>0.0213739130909042</v>
      </c>
    </row>
    <row r="205" customFormat="false" ht="15" hidden="false" customHeight="false" outlineLevel="0" collapsed="false">
      <c r="E205" s="20" t="n">
        <v>21700</v>
      </c>
      <c r="F205" s="17" t="n">
        <f aca="false">(2*PI()*mE*kB*E205/hP^2)^1.5*EXP(-13.598*eV/(kB*E205))/($B$7/(kB*E205))/(1+(2*PI()*mE*kB*E205/hP^2)^1.5*EXP(-13.598*eV/(kB*E205))/($B$7/(kB*E205)))</f>
        <v>0.999987553764744</v>
      </c>
      <c r="G205" s="17" t="n">
        <f aca="false">100000*(4*EXP(-10.199*eV/(kB*E205)))/(1+4*EXP(-10.199*eV/(kB*E205)))/(1+(2*PI()*mE*kB*E205/hP^2)^1.5*EXP(-13.598*eV/(kB*E205))/($B$7/(kB*E205)))</f>
        <v>0.0209426870836436</v>
      </c>
    </row>
    <row r="206" customFormat="false" ht="15" hidden="false" customHeight="false" outlineLevel="0" collapsed="false">
      <c r="E206" s="20" t="n">
        <v>21800</v>
      </c>
      <c r="F206" s="17" t="n">
        <f aca="false">(2*PI()*mE*kB*E206/hP^2)^1.5*EXP(-13.598*eV/(kB*E206))/($B$7/(kB*E206))/(1+(2*PI()*mE*kB*E206/hP^2)^1.5*EXP(-13.598*eV/(kB*E206))/($B$7/(kB*E206)))</f>
        <v>0.999988099653199</v>
      </c>
      <c r="G206" s="17" t="n">
        <f aca="false">100000*(4*EXP(-10.199*eV/(kB*E206)))/(1+4*EXP(-10.199*eV/(kB*E206)))/(1+(2*PI()*mE*kB*E206/hP^2)^1.5*EXP(-13.598*eV/(kB*E206))/($B$7/(kB*E206)))</f>
        <v>0.020522699967064</v>
      </c>
    </row>
    <row r="207" customFormat="false" ht="15" hidden="false" customHeight="false" outlineLevel="0" collapsed="false">
      <c r="E207" s="20" t="n">
        <v>21900</v>
      </c>
      <c r="F207" s="17" t="n">
        <f aca="false">(2*PI()*mE*kB*E207/hP^2)^1.5*EXP(-13.598*eV/(kB*E207))/($B$7/(kB*E207))/(1+(2*PI()*mE*kB*E207/hP^2)^1.5*EXP(-13.598*eV/(kB*E207))/($B$7/(kB*E207)))</f>
        <v>0.999988617533967</v>
      </c>
      <c r="G207" s="17" t="n">
        <f aca="false">100000*(4*EXP(-10.199*eV/(kB*E207)))/(1+4*EXP(-10.199*eV/(kB*E207)))/(1+(2*PI()*mE*kB*E207/hP^2)^1.5*EXP(-13.598*eV/(kB*E207))/($B$7/(kB*E207)))</f>
        <v>0.020113592097769</v>
      </c>
    </row>
    <row r="208" customFormat="false" ht="15" hidden="false" customHeight="false" outlineLevel="0" collapsed="false">
      <c r="E208" s="20" t="n">
        <v>22000</v>
      </c>
      <c r="F208" s="17" t="n">
        <f aca="false">(2*PI()*mE*kB*E208/hP^2)^1.5*EXP(-13.598*eV/(kB*E208))/($B$7/(kB*E208))/(1+(2*PI()*mE*kB*E208/hP^2)^1.5*EXP(-13.598*eV/(kB*E208))/($B$7/(kB*E208)))</f>
        <v>0.999989109038329</v>
      </c>
      <c r="G208" s="17" t="n">
        <f aca="false">100000*(4*EXP(-10.199*eV/(kB*E208)))/(1+4*EXP(-10.199*eV/(kB*E208)))/(1+(2*PI()*mE*kB*E208/hP^2)^1.5*EXP(-13.598*eV/(kB*E208))/($B$7/(kB*E208)))</f>
        <v>0.0197150174208751</v>
      </c>
    </row>
    <row r="209" customFormat="false" ht="15" hidden="false" customHeight="false" outlineLevel="0" collapsed="false">
      <c r="E209" s="20" t="n">
        <v>22100</v>
      </c>
      <c r="F209" s="17" t="n">
        <f aca="false">(2*PI()*mE*kB*E209/hP^2)^1.5*EXP(-13.598*eV/(kB*E209))/($B$7/(kB*E209))/(1+(2*PI()*mE*kB*E209/hP^2)^1.5*EXP(-13.598*eV/(kB*E209))/($B$7/(kB*E209)))</f>
        <v>0.999989575691834</v>
      </c>
      <c r="G209" s="17" t="n">
        <f aca="false">100000*(4*EXP(-10.199*eV/(kB*E209)))/(1+4*EXP(-10.199*eV/(kB*E209)))/(1+(2*PI()*mE*kB*E209/hP^2)^1.5*EXP(-13.598*eV/(kB*E209))/($B$7/(kB*E209)))</f>
        <v>0.0193266428810218</v>
      </c>
    </row>
    <row r="210" customFormat="false" ht="15" hidden="false" customHeight="false" outlineLevel="0" collapsed="false">
      <c r="E210" s="20" t="n">
        <v>22200</v>
      </c>
      <c r="F210" s="17" t="n">
        <f aca="false">(2*PI()*mE*kB*E210/hP^2)^1.5*EXP(-13.598*eV/(kB*E210))/($B$7/(kB*E210))/(1+(2*PI()*mE*kB*E210/hP^2)^1.5*EXP(-13.598*eV/(kB*E210))/($B$7/(kB*E210)))</f>
        <v>0.999990018921815</v>
      </c>
      <c r="G210" s="17" t="n">
        <f aca="false">100000*(4*EXP(-10.199*eV/(kB*E210)))/(1+4*EXP(-10.199*eV/(kB*E210)))/(1+(2*PI()*mE*kB*E210/hP^2)^1.5*EXP(-13.598*eV/(kB*E210))/($B$7/(kB*E210)))</f>
        <v>0.0189481478620695</v>
      </c>
    </row>
    <row r="211" customFormat="false" ht="15" hidden="false" customHeight="false" outlineLevel="0" collapsed="false">
      <c r="E211" s="20" t="n">
        <v>22300</v>
      </c>
      <c r="F211" s="17" t="n">
        <f aca="false">(2*PI()*mE*kB*E211/hP^2)^1.5*EXP(-13.598*eV/(kB*E211))/($B$7/(kB*E211))/(1+(2*PI()*mE*kB*E211/hP^2)^1.5*EXP(-13.598*eV/(kB*E211))/($B$7/(kB*E211)))</f>
        <v>0.99999044006433</v>
      </c>
      <c r="G211" s="17" t="n">
        <f aca="false">100000*(4*EXP(-10.199*eV/(kB*E211)))/(1+4*EXP(-10.199*eV/(kB*E211)))/(1+(2*PI()*mE*kB*E211/hP^2)^1.5*EXP(-13.598*eV/(kB*E211))/($B$7/(kB*E211)))</f>
        <v>0.0185792236539376</v>
      </c>
    </row>
    <row r="212" customFormat="false" ht="15" hidden="false" customHeight="false" outlineLevel="0" collapsed="false">
      <c r="E212" s="20" t="n">
        <v>22400</v>
      </c>
      <c r="F212" s="17" t="n">
        <f aca="false">(2*PI()*mE*kB*E212/hP^2)^1.5*EXP(-13.598*eV/(kB*E212))/($B$7/(kB*E212))/(1+(2*PI()*mE*kB*E212/hP^2)^1.5*EXP(-13.598*eV/(kB*E212))/($B$7/(kB*E212)))</f>
        <v>0.999990840370562</v>
      </c>
      <c r="G212" s="17" t="n">
        <f aca="false">100000*(4*EXP(-10.199*eV/(kB*E212)))/(1+4*EXP(-10.199*eV/(kB*E212)))/(1+(2*PI()*mE*kB*E212/hP^2)^1.5*EXP(-13.598*eV/(kB*E212))/($B$7/(kB*E212)))</f>
        <v>0.01821957294513</v>
      </c>
    </row>
    <row r="213" customFormat="false" ht="15" hidden="false" customHeight="false" outlineLevel="0" collapsed="false">
      <c r="E213" s="20" t="n">
        <v>22500</v>
      </c>
      <c r="F213" s="17" t="n">
        <f aca="false">(2*PI()*mE*kB*E213/hP^2)^1.5*EXP(-13.598*eV/(kB*E213))/($B$7/(kB*E213))/(1+(2*PI()*mE*kB*E213/hP^2)^1.5*EXP(-13.598*eV/(kB*E213))/($B$7/(kB*E213)))</f>
        <v>0.999991221012745</v>
      </c>
      <c r="G213" s="17" t="n">
        <f aca="false">100000*(4*EXP(-10.199*eV/(kB*E213)))/(1+4*EXP(-10.199*eV/(kB*E213)))/(1+(2*PI()*mE*kB*E213/hP^2)^1.5*EXP(-13.598*eV/(kB*E213))/($B$7/(kB*E213)))</f>
        <v>0.017868909339575</v>
      </c>
    </row>
    <row r="214" customFormat="false" ht="15" hidden="false" customHeight="false" outlineLevel="0" collapsed="false">
      <c r="E214" s="20" t="n">
        <v>22600</v>
      </c>
      <c r="F214" s="17" t="n">
        <f aca="false">(2*PI()*mE*kB*E214/hP^2)^1.5*EXP(-13.598*eV/(kB*E214))/($B$7/(kB*E214))/(1+(2*PI()*mE*kB*E214/hP^2)^1.5*EXP(-13.598*eV/(kB*E214))/($B$7/(kB*E214)))</f>
        <v>0.999991583089627</v>
      </c>
      <c r="G214" s="17" t="n">
        <f aca="false">100000*(4*EXP(-10.199*eV/(kB*E214)))/(1+4*EXP(-10.199*eV/(kB*E214)))/(1+(2*PI()*mE*kB*E214/hP^2)^1.5*EXP(-13.598*eV/(kB*E214))/($B$7/(kB*E214)))</f>
        <v>0.0175269568964932</v>
      </c>
    </row>
    <row r="215" customFormat="false" ht="15" hidden="false" customHeight="false" outlineLevel="0" collapsed="false">
      <c r="E215" s="20" t="n">
        <v>22700</v>
      </c>
      <c r="F215" s="17" t="n">
        <f aca="false">(2*PI()*mE*kB*E215/hP^2)^1.5*EXP(-13.598*eV/(kB*E215))/($B$7/(kB*E215))/(1+(2*PI()*mE*kB*E215/hP^2)^1.5*EXP(-13.598*eV/(kB*E215))/($B$7/(kB*E215)))</f>
        <v>0.999991927631532</v>
      </c>
      <c r="G215" s="17" t="n">
        <f aca="false">100000*(4*EXP(-10.199*eV/(kB*E215)))/(1+4*EXP(-10.199*eV/(kB*E215)))/(1+(2*PI()*mE*kB*E215/hP^2)^1.5*EXP(-13.598*eV/(kB*E215))/($B$7/(kB*E215)))</f>
        <v>0.0171934496920758</v>
      </c>
    </row>
    <row r="216" customFormat="false" ht="15" hidden="false" customHeight="false" outlineLevel="0" collapsed="false">
      <c r="E216" s="20" t="n">
        <v>22800</v>
      </c>
      <c r="F216" s="17" t="n">
        <f aca="false">(2*PI()*mE*kB*E216/hP^2)^1.5*EXP(-13.598*eV/(kB*E216))/($B$7/(kB*E216))/(1+(2*PI()*mE*kB*E216/hP^2)^1.5*EXP(-13.598*eV/(kB*E216))/($B$7/(kB*E216)))</f>
        <v>0.999992255605039</v>
      </c>
      <c r="G216" s="17" t="n">
        <f aca="false">100000*(4*EXP(-10.199*eV/(kB*E216)))/(1+4*EXP(-10.199*eV/(kB*E216)))/(1+(2*PI()*mE*kB*E216/hP^2)^1.5*EXP(-13.598*eV/(kB*E216))/($B$7/(kB*E216)))</f>
        <v>0.0168681314018297</v>
      </c>
    </row>
    <row r="217" customFormat="false" ht="15" hidden="false" customHeight="false" outlineLevel="0" collapsed="false">
      <c r="E217" s="20" t="n">
        <v>22900</v>
      </c>
      <c r="F217" s="17" t="n">
        <f aca="false">(2*PI()*mE*kB*E217/hP^2)^1.5*EXP(-13.598*eV/(kB*E217))/($B$7/(kB*E217))/(1+(2*PI()*mE*kB*E217/hP^2)^1.5*EXP(-13.598*eV/(kB*E217))/($B$7/(kB*E217)))</f>
        <v>0.999992567917315</v>
      </c>
      <c r="G217" s="17" t="n">
        <f aca="false">100000*(4*EXP(-10.199*eV/(kB*E217)))/(1+4*EXP(-10.199*eV/(kB*E217)))/(1+(2*PI()*mE*kB*E217/hP^2)^1.5*EXP(-13.598*eV/(kB*E217))/($B$7/(kB*E217)))</f>
        <v>0.0165507549025096</v>
      </c>
    </row>
    <row r="218" customFormat="false" ht="15" hidden="false" customHeight="false" outlineLevel="0" collapsed="false">
      <c r="E218" s="20" t="n">
        <v>23000</v>
      </c>
      <c r="F218" s="17" t="n">
        <f aca="false">(2*PI()*mE*kB*E218/hP^2)^1.5*EXP(-13.598*eV/(kB*E218))/($B$7/(kB*E218))/(1+(2*PI()*mE*kB*E218/hP^2)^1.5*EXP(-13.598*eV/(kB*E218))/($B$7/(kB*E218)))</f>
        <v>0.999992865420127</v>
      </c>
      <c r="G218" s="17" t="n">
        <f aca="false">100000*(4*EXP(-10.199*eV/(kB*E218)))/(1+4*EXP(-10.199*eV/(kB*E218)))/(1+(2*PI()*mE*kB*E218/hP^2)^1.5*EXP(-13.598*eV/(kB*E218))/($B$7/(kB*E218)))</f>
        <v>0.0162410818926201</v>
      </c>
    </row>
    <row r="219" customFormat="false" ht="15" hidden="false" customHeight="false" outlineLevel="0" collapsed="false">
      <c r="E219" s="20" t="n">
        <v>23100</v>
      </c>
      <c r="F219" s="17" t="n">
        <f aca="false">(2*PI()*mE*kB*E219/hP^2)^1.5*EXP(-13.598*eV/(kB*E219))/($B$7/(kB*E219))/(1+(2*PI()*mE*kB*E219/hP^2)^1.5*EXP(-13.598*eV/(kB*E219))/($B$7/(kB*E219)))</f>
        <v>0.999993148913562</v>
      </c>
      <c r="G219" s="17" t="n">
        <f aca="false">100000*(4*EXP(-10.199*eV/(kB*E219)))/(1+4*EXP(-10.199*eV/(kB*E219)))/(1+(2*PI()*mE*kB*E219/hP^2)^1.5*EXP(-13.598*eV/(kB*E219))/($B$7/(kB*E219)))</f>
        <v>0.015938882530528</v>
      </c>
    </row>
    <row r="220" customFormat="false" ht="15" hidden="false" customHeight="false" outlineLevel="0" collapsed="false">
      <c r="E220" s="20" t="n">
        <v>23200</v>
      </c>
      <c r="F220" s="17" t="n">
        <f aca="false">(2*PI()*mE*kB*E220/hP^2)^1.5*EXP(-13.598*eV/(kB*E220))/($B$7/(kB*E220))/(1+(2*PI()*mE*kB*E220/hP^2)^1.5*EXP(-13.598*eV/(kB*E220))/($B$7/(kB*E220)))</f>
        <v>0.99999341914947</v>
      </c>
      <c r="G220" s="17" t="n">
        <f aca="false">100000*(4*EXP(-10.199*eV/(kB*E220)))/(1+4*EXP(-10.199*eV/(kB*E220)))/(1+(2*PI()*mE*kB*E220/hP^2)^1.5*EXP(-13.598*eV/(kB*E220))/($B$7/(kB*E220)))</f>
        <v>0.0156439350892798</v>
      </c>
    </row>
    <row r="221" customFormat="false" ht="15" hidden="false" customHeight="false" outlineLevel="0" collapsed="false">
      <c r="E221" s="20" t="n">
        <v>23300</v>
      </c>
      <c r="F221" s="17" t="n">
        <f aca="false">(2*PI()*mE*kB*E221/hP^2)^1.5*EXP(-13.598*eV/(kB*E221))/($B$7/(kB*E221))/(1+(2*PI()*mE*kB*E221/hP^2)^1.5*EXP(-13.598*eV/(kB*E221))/($B$7/(kB*E221)))</f>
        <v>0.999993676834666</v>
      </c>
      <c r="G221" s="17" t="n">
        <f aca="false">100000*(4*EXP(-10.199*eV/(kB*E221)))/(1+4*EXP(-10.199*eV/(kB*E221)))/(1+(2*PI()*mE*kB*E221/hP^2)^1.5*EXP(-13.598*eV/(kB*E221))/($B$7/(kB*E221)))</f>
        <v>0.0153560256272689</v>
      </c>
    </row>
    <row r="222" customFormat="false" ht="15" hidden="false" customHeight="false" outlineLevel="0" collapsed="false">
      <c r="E222" s="20" t="n">
        <v>23400</v>
      </c>
      <c r="F222" s="17" t="n">
        <f aca="false">(2*PI()*mE*kB*E222/hP^2)^1.5*EXP(-13.598*eV/(kB*E222))/($B$7/(kB*E222))/(1+(2*PI()*mE*kB*E222/hP^2)^1.5*EXP(-13.598*eV/(kB*E222))/($B$7/(kB*E222)))</f>
        <v>0.999993922633893</v>
      </c>
      <c r="G222" s="17" t="n">
        <f aca="false">100000*(4*EXP(-10.199*eV/(kB*E222)))/(1+4*EXP(-10.199*eV/(kB*E222)))/(1+(2*PI()*mE*kB*E222/hP^2)^1.5*EXP(-13.598*eV/(kB*E222))/($B$7/(kB*E222)))</f>
        <v>0.0150749476739471</v>
      </c>
    </row>
    <row r="223" customFormat="false" ht="15" hidden="false" customHeight="false" outlineLevel="0" collapsed="false">
      <c r="E223" s="20" t="n">
        <v>23500</v>
      </c>
      <c r="F223" s="17" t="n">
        <f aca="false">(2*PI()*mE*kB*E223/hP^2)^1.5*EXP(-13.598*eV/(kB*E223))/($B$7/(kB*E223))/(1+(2*PI()*mE*kB*E223/hP^2)^1.5*EXP(-13.598*eV/(kB*E223))/($B$7/(kB*E223)))</f>
        <v>0.999994157172576</v>
      </c>
      <c r="G223" s="17" t="n">
        <f aca="false">100000*(4*EXP(-10.199*eV/(kB*E223)))/(1+4*EXP(-10.199*eV/(kB*E223)))/(1+(2*PI()*mE*kB*E223/hP^2)^1.5*EXP(-13.598*eV/(kB*E223))/($B$7/(kB*E223)))</f>
        <v>0.0148005019298188</v>
      </c>
    </row>
    <row r="224" customFormat="false" ht="15" hidden="false" customHeight="false" outlineLevel="0" collapsed="false">
      <c r="E224" s="20" t="n">
        <v>23600</v>
      </c>
      <c r="F224" s="17" t="n">
        <f aca="false">(2*PI()*mE*kB*E224/hP^2)^1.5*EXP(-13.598*eV/(kB*E224))/($B$7/(kB*E224))/(1+(2*PI()*mE*kB*E224/hP^2)^1.5*EXP(-13.598*eV/(kB*E224))/($B$7/(kB*E224)))</f>
        <v>0.999994381039384</v>
      </c>
      <c r="G224" s="17" t="n">
        <f aca="false">100000*(4*EXP(-10.199*eV/(kB*E224)))/(1+4*EXP(-10.199*eV/(kB*E224)))/(1+(2*PI()*mE*kB*E224/hP^2)^1.5*EXP(-13.598*eV/(kB*E224))/($B$7/(kB*E224)))</f>
        <v>0.0145324959799978</v>
      </c>
    </row>
    <row r="225" customFormat="false" ht="15" hidden="false" customHeight="false" outlineLevel="0" collapsed="false">
      <c r="E225" s="20" t="n">
        <v>23700</v>
      </c>
      <c r="F225" s="17" t="n">
        <f aca="false">(2*PI()*mE*kB*E225/hP^2)^1.5*EXP(-13.598*eV/(kB*E225))/($B$7/(kB*E225))/(1+(2*PI()*mE*kB*E225/hP^2)^1.5*EXP(-13.598*eV/(kB*E225))/($B$7/(kB*E225)))</f>
        <v>0.999994594788602</v>
      </c>
      <c r="G225" s="17" t="n">
        <f aca="false">100000*(4*EXP(-10.199*eV/(kB*E225)))/(1+4*EXP(-10.199*eV/(kB*E225)))/(1+(2*PI()*mE*kB*E225/hP^2)^1.5*EXP(-13.598*eV/(kB*E225))/($B$7/(kB*E225)))</f>
        <v>0.0142707440206471</v>
      </c>
    </row>
    <row r="226" customFormat="false" ht="15" hidden="false" customHeight="false" outlineLevel="0" collapsed="false">
      <c r="E226" s="20" t="n">
        <v>23800</v>
      </c>
      <c r="F226" s="17" t="n">
        <f aca="false">(2*PI()*mE*kB*E226/hP^2)^1.5*EXP(-13.598*eV/(kB*E226))/($B$7/(kB*E226))/(1+(2*PI()*mE*kB*E226/hP^2)^1.5*EXP(-13.598*eV/(kB*E226))/($B$7/(kB*E226)))</f>
        <v>0.999994798942346</v>
      </c>
      <c r="G226" s="17" t="n">
        <f aca="false">100000*(4*EXP(-10.199*eV/(kB*E226)))/(1+4*EXP(-10.199*eV/(kB*E226)))/(1+(2*PI()*mE*kB*E226/hP^2)^1.5*EXP(-13.598*eV/(kB*E226))/($B$7/(kB*E226)))</f>
        <v>0.01401506659766</v>
      </c>
    </row>
    <row r="227" customFormat="false" ht="15" hidden="false" customHeight="false" outlineLevel="0" collapsed="false">
      <c r="E227" s="20" t="n">
        <v>23900</v>
      </c>
      <c r="F227" s="17" t="n">
        <f aca="false">(2*PI()*mE*kB*E227/hP^2)^1.5*EXP(-13.598*eV/(kB*E227))/($B$7/(kB*E227))/(1+(2*PI()*mE*kB*E227/hP^2)^1.5*EXP(-13.598*eV/(kB*E227))/($B$7/(kB*E227)))</f>
        <v>0.999994993992614</v>
      </c>
      <c r="G227" s="17" t="n">
        <f aca="false">100000*(4*EXP(-10.199*eV/(kB*E227)))/(1+4*EXP(-10.199*eV/(kB*E227)))/(1+(2*PI()*mE*kB*E227/hP^2)^1.5*EXP(-13.598*eV/(kB*E227))/($B$7/(kB*E227)))</f>
        <v>0.0137652903569745</v>
      </c>
    </row>
    <row r="228" customFormat="false" ht="15" hidden="false" customHeight="false" outlineLevel="0" collapsed="false">
      <c r="E228" s="20" t="n">
        <v>24000</v>
      </c>
      <c r="F228" s="17" t="n">
        <f aca="false">(2*PI()*mE*kB*E228/hP^2)^1.5*EXP(-13.598*eV/(kB*E228))/($B$7/(kB*E228))/(1+(2*PI()*mE*kB*E228/hP^2)^1.5*EXP(-13.598*eV/(kB*E228))/($B$7/(kB*E228)))</f>
        <v>0.999995180403198</v>
      </c>
      <c r="G228" s="17" t="n">
        <f aca="false">100000*(4*EXP(-10.199*eV/(kB*E228)))/(1+4*EXP(-10.199*eV/(kB*E228)))/(1+(2*PI()*mE*kB*E228/hP^2)^1.5*EXP(-13.598*eV/(kB*E228))/($B$7/(kB*E228)))</f>
        <v>0.013521247805947</v>
      </c>
    </row>
    <row r="229" customFormat="false" ht="15" hidden="false" customHeight="false" outlineLevel="0" collapsed="false">
      <c r="E229" s="20" t="n">
        <v>24100</v>
      </c>
      <c r="F229" s="17" t="n">
        <f aca="false">(2*PI()*mE*kB*E229/hP^2)^1.5*EXP(-13.598*eV/(kB*E229))/($B$7/(kB*E229))/(1+(2*PI()*mE*kB*E229/hP^2)^1.5*EXP(-13.598*eV/(kB*E229))/($B$7/(kB*E229)))</f>
        <v>0.999995358611471</v>
      </c>
      <c r="G229" s="17" t="n">
        <f aca="false">100000*(4*EXP(-10.199*eV/(kB*E229)))/(1+4*EXP(-10.199*eV/(kB*E229)))/(1+(2*PI()*mE*kB*E229/hP^2)^1.5*EXP(-13.598*eV/(kB*E229))/($B$7/(kB*E229)))</f>
        <v>0.0132827770852424</v>
      </c>
    </row>
    <row r="230" customFormat="false" ht="15" hidden="false" customHeight="false" outlineLevel="0" collapsed="false">
      <c r="E230" s="20" t="n">
        <v>24200</v>
      </c>
      <c r="F230" s="17" t="n">
        <f aca="false">(2*PI()*mE*kB*E230/hP^2)^1.5*EXP(-13.598*eV/(kB*E230))/($B$7/(kB*E230))/(1+(2*PI()*mE*kB*E230/hP^2)^1.5*EXP(-13.598*eV/(kB*E230))/($B$7/(kB*E230)))</f>
        <v>0.999995529030037</v>
      </c>
      <c r="G230" s="17" t="n">
        <f aca="false">100000*(4*EXP(-10.199*eV/(kB*E230)))/(1+4*EXP(-10.199*eV/(kB*E230)))/(1+(2*PI()*mE*kB*E230/hP^2)^1.5*EXP(-13.598*eV/(kB*E230))/($B$7/(kB*E230)))</f>
        <v>0.0130497217507256</v>
      </c>
    </row>
    <row r="231" customFormat="false" ht="15" hidden="false" customHeight="false" outlineLevel="0" collapsed="false">
      <c r="E231" s="20" t="n">
        <v>24300</v>
      </c>
      <c r="F231" s="17" t="n">
        <f aca="false">(2*PI()*mE*kB*E231/hP^2)^1.5*EXP(-13.598*eV/(kB*E231))/($B$7/(kB*E231))/(1+(2*PI()*mE*kB*E231/hP^2)^1.5*EXP(-13.598*eV/(kB*E231))/($B$7/(kB*E231)))</f>
        <v>0.99999569204828</v>
      </c>
      <c r="G231" s="17" t="n">
        <f aca="false">100000*(4*EXP(-10.199*eV/(kB*E231)))/(1+4*EXP(-10.199*eV/(kB*E231)))/(1+(2*PI()*mE*kB*E231/hP^2)^1.5*EXP(-13.598*eV/(kB*E231))/($B$7/(kB*E231)))</f>
        <v>0.0128219305648692</v>
      </c>
    </row>
    <row r="232" customFormat="false" ht="15" hidden="false" customHeight="false" outlineLevel="0" collapsed="false">
      <c r="E232" s="20" t="n">
        <v>24400</v>
      </c>
      <c r="F232" s="17" t="n">
        <f aca="false">(2*PI()*mE*kB*E232/hP^2)^1.5*EXP(-13.598*eV/(kB*E232))/($B$7/(kB*E232))/(1+(2*PI()*mE*kB*E232/hP^2)^1.5*EXP(-13.598*eV/(kB*E232))/($B$7/(kB*E232)))</f>
        <v>0.999995848033801</v>
      </c>
      <c r="G232" s="17" t="n">
        <f aca="false">100000*(4*EXP(-10.199*eV/(kB*E232)))/(1+4*EXP(-10.199*eV/(kB*E232)))/(1+(2*PI()*mE*kB*E232/hP^2)^1.5*EXP(-13.598*eV/(kB*E232))/($B$7/(kB*E232)))</f>
        <v>0.0125992572972163</v>
      </c>
    </row>
    <row r="233" customFormat="false" ht="15" hidden="false" customHeight="false" outlineLevel="0" collapsed="false">
      <c r="E233" s="20" t="n">
        <v>24500</v>
      </c>
      <c r="F233" s="17" t="n">
        <f aca="false">(2*PI()*mE*kB*E233/hP^2)^1.5*EXP(-13.598*eV/(kB*E233))/($B$7/(kB*E233))/(1+(2*PI()*mE*kB*E233/hP^2)^1.5*EXP(-13.598*eV/(kB*E233))/($B$7/(kB*E233)))</f>
        <v>0.999995997333765</v>
      </c>
      <c r="G233" s="17" t="n">
        <f aca="false">100000*(4*EXP(-10.199*eV/(kB*E233)))/(1+4*EXP(-10.199*eV/(kB*E233)))/(1+(2*PI()*mE*kB*E233/hP^2)^1.5*EXP(-13.598*eV/(kB*E233))/($B$7/(kB*E233)))</f>
        <v>0.0123815605334613</v>
      </c>
    </row>
    <row r="234" customFormat="false" ht="15" hidden="false" customHeight="false" outlineLevel="0" collapsed="false">
      <c r="E234" s="20" t="n">
        <v>24600</v>
      </c>
      <c r="F234" s="17" t="n">
        <f aca="false">(2*PI()*mE*kB*E234/hP^2)^1.5*EXP(-13.598*eV/(kB*E234))/($B$7/(kB*E234))/(1+(2*PI()*mE*kB*E234/hP^2)^1.5*EXP(-13.598*eV/(kB*E234))/($B$7/(kB*E234)))</f>
        <v>0.99999614027615</v>
      </c>
      <c r="G234" s="17" t="n">
        <f aca="false">100000*(4*EXP(-10.199*eV/(kB*E234)))/(1+4*EXP(-10.199*eV/(kB*E234)))/(1+(2*PI()*mE*kB*E234/hP^2)^1.5*EXP(-13.598*eV/(kB*E234))/($B$7/(kB*E234)))</f>
        <v>0.0121687034927385</v>
      </c>
    </row>
    <row r="235" customFormat="false" ht="15" hidden="false" customHeight="false" outlineLevel="0" collapsed="false">
      <c r="E235" s="20" t="n">
        <v>24700</v>
      </c>
      <c r="F235" s="17" t="n">
        <f aca="false">(2*PI()*mE*kB*E235/hP^2)^1.5*EXP(-13.598*eV/(kB*E235))/($B$7/(kB*E235))/(1+(2*PI()*mE*kB*E235/hP^2)^1.5*EXP(-13.598*eV/(kB*E235))/($B$7/(kB*E235)))</f>
        <v>0.999996277170915</v>
      </c>
      <c r="G235" s="17" t="n">
        <f aca="false">100000*(4*EXP(-10.199*eV/(kB*E235)))/(1+4*EXP(-10.199*eV/(kB*E235)))/(1+(2*PI()*mE*kB*E235/hP^2)^1.5*EXP(-13.598*eV/(kB*E235))/($B$7/(kB*E235)))</f>
        <v>0.0119605538527233</v>
      </c>
    </row>
    <row r="236" customFormat="false" ht="15" hidden="false" customHeight="false" outlineLevel="0" collapsed="false">
      <c r="E236" s="20" t="n">
        <v>24800</v>
      </c>
      <c r="F236" s="17" t="n">
        <f aca="false">(2*PI()*mE*kB*E236/hP^2)^1.5*EXP(-13.598*eV/(kB*E236))/($B$7/(kB*E236))/(1+(2*PI()*mE*kB*E236/hP^2)^1.5*EXP(-13.598*eV/(kB*E236))/($B$7/(kB*E236)))</f>
        <v>0.999996408311094</v>
      </c>
      <c r="G236" s="17" t="n">
        <f aca="false">100000*(4*EXP(-10.199*eV/(kB*E236)))/(1+4*EXP(-10.199*eV/(kB*E236)))/(1+(2*PI()*mE*kB*E236/hP^2)^1.5*EXP(-13.598*eV/(kB*E236))/($B$7/(kB*E236)))</f>
        <v>0.0117569835821783</v>
      </c>
    </row>
    <row r="237" customFormat="false" ht="15" hidden="false" customHeight="false" outlineLevel="0" collapsed="false">
      <c r="E237" s="20" t="n">
        <v>24900</v>
      </c>
      <c r="F237" s="17" t="n">
        <f aca="false">(2*PI()*mE*kB*E237/hP^2)^1.5*EXP(-13.598*eV/(kB*E237))/($B$7/(kB*E237))/(1+(2*PI()*mE*kB*E237/hP^2)^1.5*EXP(-13.598*eV/(kB*E237))/($B$7/(kB*E237)))</f>
        <v>0.999996533973814</v>
      </c>
      <c r="G237" s="17" t="n">
        <f aca="false">100000*(4*EXP(-10.199*eV/(kB*E237)))/(1+4*EXP(-10.199*eV/(kB*E237)))/(1+(2*PI()*mE*kB*E237/hP^2)^1.5*EXP(-13.598*eV/(kB*E237))/($B$7/(kB*E237)))</f>
        <v>0.011557868780591</v>
      </c>
    </row>
    <row r="238" customFormat="false" ht="15" hidden="false" customHeight="false" outlineLevel="0" collapsed="false">
      <c r="E238" s="20" t="n">
        <v>25000</v>
      </c>
      <c r="F238" s="17" t="n">
        <f aca="false">(2*PI()*mE*kB*E238/hP^2)^1.5*EXP(-13.598*eV/(kB*E238))/($B$7/(kB*E238))/(1+(2*PI()*mE*kB*E238/hP^2)^1.5*EXP(-13.598*eV/(kB*E238))/($B$7/(kB*E238)))</f>
        <v>0.999996654421247</v>
      </c>
      <c r="G238" s="17" t="n">
        <f aca="false">100000*(4*EXP(-10.199*eV/(kB*E238)))/(1+4*EXP(-10.199*eV/(kB*E238)))/(1+(2*PI()*mE*kB*E238/hP^2)^1.5*EXP(-13.598*eV/(kB*E238))/($B$7/(kB*E238)))</f>
        <v>0.0113630895245704</v>
      </c>
    </row>
    <row r="239" customFormat="false" ht="15" hidden="false" customHeight="false" outlineLevel="0" collapsed="false">
      <c r="E239" s="20" t="n">
        <v>25100</v>
      </c>
      <c r="F239" s="17" t="n">
        <f aca="false">(2*PI()*mE*kB*E239/hP^2)^1.5*EXP(-13.598*eV/(kB*E239))/($B$7/(kB*E239))/(1+(2*PI()*mE*kB*E239/hP^2)^1.5*EXP(-13.598*eV/(kB*E239))/($B$7/(kB*E239)))</f>
        <v>0.999996769901502</v>
      </c>
      <c r="G239" s="17" t="n">
        <f aca="false">100000*(4*EXP(-10.199*eV/(kB*E239)))/(1+4*EXP(-10.199*eV/(kB*E239)))/(1+(2*PI()*mE*kB*E239/hP^2)^1.5*EXP(-13.598*eV/(kB*E239))/($B$7/(kB*E239)))</f>
        <v>0.0111725297206858</v>
      </c>
    </row>
    <row r="240" customFormat="false" ht="15" hidden="false" customHeight="false" outlineLevel="0" collapsed="false">
      <c r="E240" s="20" t="n">
        <v>25200</v>
      </c>
      <c r="F240" s="17" t="n">
        <f aca="false">(2*PI()*mE*kB*E240/hP^2)^1.5*EXP(-13.598*eV/(kB*E240))/($B$7/(kB*E240))/(1+(2*PI()*mE*kB*E240/hP^2)^1.5*EXP(-13.598*eV/(kB*E240))/($B$7/(kB*E240)))</f>
        <v>0.999996880649452</v>
      </c>
      <c r="G240" s="17" t="n">
        <f aca="false">100000*(4*EXP(-10.199*eV/(kB*E240)))/(1+4*EXP(-10.199*eV/(kB*E240)))/(1+(2*PI()*mE*kB*E240/hP^2)^1.5*EXP(-13.598*eV/(kB*E240))/($B$7/(kB*E240)))</f>
        <v>0.0109860769644483</v>
      </c>
    </row>
    <row r="241" customFormat="false" ht="15" hidden="false" customHeight="false" outlineLevel="0" collapsed="false">
      <c r="E241" s="20" t="n">
        <v>25300</v>
      </c>
      <c r="F241" s="17" t="n">
        <f aca="false">(2*PI()*mE*kB*E241/hP^2)^1.5*EXP(-13.598*eV/(kB*E241))/($B$7/(kB*E241))/(1+(2*PI()*mE*kB*E241/hP^2)^1.5*EXP(-13.598*eV/(kB*E241))/($B$7/(kB*E241)))</f>
        <v>0.999996986887522</v>
      </c>
      <c r="G241" s="17" t="n">
        <f aca="false">100000*(4*EXP(-10.199*eV/(kB*E241)))/(1+4*EXP(-10.199*eV/(kB*E241)))/(1+(2*PI()*mE*kB*E241/hP^2)^1.5*EXP(-13.598*eV/(kB*E241))/($B$7/(kB*E241)))</f>
        <v>0.0108036224051501</v>
      </c>
    </row>
    <row r="242" customFormat="false" ht="15" hidden="false" customHeight="false" outlineLevel="0" collapsed="false">
      <c r="E242" s="20" t="n">
        <v>25400</v>
      </c>
      <c r="F242" s="17" t="n">
        <f aca="false">(2*PI()*mE*kB*E242/hP^2)^1.5*EXP(-13.598*eV/(kB*E242))/($B$7/(kB*E242))/(1+(2*PI()*mE*kB*E242/hP^2)^1.5*EXP(-13.598*eV/(kB*E242))/($B$7/(kB*E242)))</f>
        <v>0.999997088826409</v>
      </c>
      <c r="G242" s="17" t="n">
        <f aca="false">100000*(4*EXP(-10.199*eV/(kB*E242)))/(1+4*EXP(-10.199*eV/(kB*E242)))/(1+(2*PI()*mE*kB*E242/hP^2)^1.5*EXP(-13.598*eV/(kB*E242))/($B$7/(kB*E242)))</f>
        <v>0.0106250606162914</v>
      </c>
    </row>
    <row r="243" customFormat="false" ht="15" hidden="false" customHeight="false" outlineLevel="0" collapsed="false">
      <c r="E243" s="20" t="n">
        <v>25500</v>
      </c>
      <c r="F243" s="17" t="n">
        <f aca="false">(2*PI()*mE*kB*E243/hP^2)^1.5*EXP(-13.598*eV/(kB*E243))/($B$7/(kB*E243))/(1+(2*PI()*mE*kB*E243/hP^2)^1.5*EXP(-13.598*eV/(kB*E243))/($B$7/(kB*E243)))</f>
        <v>0.999997186665768</v>
      </c>
      <c r="G243" s="17" t="n">
        <f aca="false">100000*(4*EXP(-10.199*eV/(kB*E243)))/(1+4*EXP(-10.199*eV/(kB*E243)))/(1+(2*PI()*mE*kB*E243/hP^2)^1.5*EXP(-13.598*eV/(kB*E243))/($B$7/(kB*E243)))</f>
        <v>0.0104502894713387</v>
      </c>
    </row>
    <row r="244" customFormat="false" ht="15" hidden="false" customHeight="false" outlineLevel="0" collapsed="false">
      <c r="E244" s="20" t="n">
        <v>25600</v>
      </c>
      <c r="F244" s="17" t="n">
        <f aca="false">(2*PI()*mE*kB*E244/hP^2)^1.5*EXP(-13.598*eV/(kB*E244))/($B$7/(kB*E244))/(1+(2*PI()*mE*kB*E244/hP^2)^1.5*EXP(-13.598*eV/(kB*E244))/($B$7/(kB*E244)))</f>
        <v>0.999997280594852</v>
      </c>
      <c r="G244" s="17" t="n">
        <f aca="false">100000*(4*EXP(-10.199*eV/(kB*E244)))/(1+4*EXP(-10.199*eV/(kB*E244)))/(1+(2*PI()*mE*kB*E244/hP^2)^1.5*EXP(-13.598*eV/(kB*E244))/($B$7/(kB*E244)))</f>
        <v>0.0102792100245703</v>
      </c>
    </row>
    <row r="245" customFormat="false" ht="15" hidden="false" customHeight="false" outlineLevel="0" collapsed="false">
      <c r="E245" s="20" t="n">
        <v>25700</v>
      </c>
      <c r="F245" s="17" t="n">
        <f aca="false">(2*PI()*mE*kB*E245/hP^2)^1.5*EXP(-13.598*eV/(kB*E245))/($B$7/(kB*E245))/(1+(2*PI()*mE*kB*E245/hP^2)^1.5*EXP(-13.598*eV/(kB*E245))/($B$7/(kB*E245)))</f>
        <v>0.999997370793108</v>
      </c>
      <c r="G245" s="17" t="n">
        <f aca="false">100000*(4*EXP(-10.199*eV/(kB*E245)))/(1+4*EXP(-10.199*eV/(kB*E245)))/(1+(2*PI()*mE*kB*E245/hP^2)^1.5*EXP(-13.598*eV/(kB*E245))/($B$7/(kB*E245)))</f>
        <v>0.0101117263967782</v>
      </c>
    </row>
    <row r="246" customFormat="false" ht="15" hidden="false" customHeight="false" outlineLevel="0" collapsed="false">
      <c r="E246" s="20" t="n">
        <v>25800</v>
      </c>
      <c r="F246" s="17" t="n">
        <f aca="false">(2*PI()*mE*kB*E246/hP^2)^1.5*EXP(-13.598*eV/(kB*E246))/($B$7/(kB*E246))/(1+(2*PI()*mE*kB*E246/hP^2)^1.5*EXP(-13.598*eV/(kB*E246))/($B$7/(kB*E246)))</f>
        <v>0.999997457430738</v>
      </c>
      <c r="G246" s="17" t="n">
        <f aca="false">100000*(4*EXP(-10.199*eV/(kB*E246)))/(1+4*EXP(-10.199*eV/(kB*E246)))/(1+(2*PI()*mE*kB*E246/hP^2)^1.5*EXP(-13.598*eV/(kB*E246))/($B$7/(kB*E246)))</f>
        <v>0.00994774566560629</v>
      </c>
    </row>
    <row r="247" customFormat="false" ht="15" hidden="false" customHeight="false" outlineLevel="0" collapsed="false">
      <c r="E247" s="20" t="n">
        <v>25900</v>
      </c>
      <c r="F247" s="17" t="n">
        <f aca="false">(2*PI()*mE*kB*E247/hP^2)^1.5*EXP(-13.598*eV/(kB*E247))/($B$7/(kB*E247))/(1+(2*PI()*mE*kB*E247/hP^2)^1.5*EXP(-13.598*eV/(kB*E247))/($B$7/(kB*E247)))</f>
        <v>0.99999754066923</v>
      </c>
      <c r="G247" s="17" t="n">
        <f aca="false">100000*(4*EXP(-10.199*eV/(kB*E247)))/(1+4*EXP(-10.199*eV/(kB*E247)))/(1+(2*PI()*mE*kB*E247/hP^2)^1.5*EXP(-13.598*eV/(kB*E247))/($B$7/(kB*E247)))</f>
        <v>0.00978717776031618</v>
      </c>
    </row>
    <row r="248" customFormat="false" ht="15" hidden="false" customHeight="false" outlineLevel="0" collapsed="false">
      <c r="E248" s="20" t="n">
        <v>26000</v>
      </c>
      <c r="F248" s="17" t="n">
        <f aca="false">(2*PI()*mE*kB*E248/hP^2)^1.5*EXP(-13.598*eV/(kB*E248))/($B$7/(kB*E248))/(1+(2*PI()*mE*kB*E248/hP^2)^1.5*EXP(-13.598*eV/(kB*E248))/($B$7/(kB*E248)))</f>
        <v>0.999997620661845</v>
      </c>
      <c r="G248" s="17" t="n">
        <f aca="false">100000*(4*EXP(-10.199*eV/(kB*E248)))/(1+4*EXP(-10.199*eV/(kB*E248)))/(1+(2*PI()*mE*kB*E248/hP^2)^1.5*EXP(-13.598*eV/(kB*E248))/($B$7/(kB*E248)))</f>
        <v>0.00962993536078146</v>
      </c>
    </row>
    <row r="249" customFormat="false" ht="15" hidden="false" customHeight="false" outlineLevel="0" collapsed="false">
      <c r="E249" s="20" t="n">
        <v>26100</v>
      </c>
      <c r="F249" s="17" t="n">
        <f aca="false">(2*PI()*mE*kB*E249/hP^2)^1.5*EXP(-13.598*eV/(kB*E249))/($B$7/(kB*E249))/(1+(2*PI()*mE*kB*E249/hP^2)^1.5*EXP(-13.598*eV/(kB*E249))/($B$7/(kB*E249)))</f>
        <v>0.99999769755408</v>
      </c>
      <c r="G249" s="17" t="n">
        <f aca="false">100000*(4*EXP(-10.199*eV/(kB*E249)))/(1+4*EXP(-10.199*eV/(kB*E249)))/(1+(2*PI()*mE*kB*E249/hP^2)^1.5*EXP(-13.598*eV/(kB*E249))/($B$7/(kB*E249)))</f>
        <v>0.00947593380052238</v>
      </c>
    </row>
    <row r="250" customFormat="false" ht="15" hidden="false" customHeight="false" outlineLevel="0" collapsed="false">
      <c r="E250" s="20" t="n">
        <v>26200</v>
      </c>
      <c r="F250" s="17" t="n">
        <f aca="false">(2*PI()*mE*kB*E250/hP^2)^1.5*EXP(-13.598*eV/(kB*E250))/($B$7/(kB*E250))/(1+(2*PI()*mE*kB*E250/hP^2)^1.5*EXP(-13.598*eV/(kB*E250))/($B$7/(kB*E250)))</f>
        <v>0.99999777148411</v>
      </c>
      <c r="G250" s="17" t="n">
        <f aca="false">100000*(4*EXP(-10.199*eV/(kB*E250)))/(1+4*EXP(-10.199*eV/(kB*E250)))/(1+(2*PI()*mE*kB*E250/hP^2)^1.5*EXP(-13.598*eV/(kB*E250))/($B$7/(kB*E250)))</f>
        <v>0.00932509097360087</v>
      </c>
    </row>
    <row r="251" customFormat="false" ht="15" hidden="false" customHeight="false" outlineLevel="0" collapsed="false">
      <c r="E251" s="20" t="n">
        <v>26300</v>
      </c>
      <c r="F251" s="17" t="n">
        <f aca="false">(2*PI()*mE*kB*E251/hP^2)^1.5*EXP(-13.598*eV/(kB*E251))/($B$7/(kB*E251))/(1+(2*PI()*mE*kB*E251/hP^2)^1.5*EXP(-13.598*eV/(kB*E251))/($B$7/(kB*E251)))</f>
        <v>0.999997842583187</v>
      </c>
      <c r="G251" s="17" t="n">
        <f aca="false">100000*(4*EXP(-10.199*eV/(kB*E251)))/(1+4*EXP(-10.199*eV/(kB*E251)))/(1+(2*PI()*mE*kB*E251/hP^2)^1.5*EXP(-13.598*eV/(kB*E251))/($B$7/(kB*E251)))</f>
        <v>0.00917732724520527</v>
      </c>
    </row>
    <row r="252" customFormat="false" ht="15" hidden="false" customHeight="false" outlineLevel="0" collapsed="false">
      <c r="E252" s="20" t="n">
        <v>26400</v>
      </c>
      <c r="F252" s="17" t="n">
        <f aca="false">(2*PI()*mE*kB*E252/hP^2)^1.5*EXP(-13.598*eV/(kB*E252))/($B$7/(kB*E252))/(1+(2*PI()*mE*kB*E252/hP^2)^1.5*EXP(-13.598*eV/(kB*E252))/($B$7/(kB*E252)))</f>
        <v>0.999997910976027</v>
      </c>
      <c r="G252" s="17" t="n">
        <f aca="false">100000*(4*EXP(-10.199*eV/(kB*E252)))/(1+4*EXP(-10.199*eV/(kB*E252)))/(1+(2*PI()*mE*kB*E252/hP^2)^1.5*EXP(-13.598*eV/(kB*E252))/($B$7/(kB*E252)))</f>
        <v>0.00903256536576235</v>
      </c>
    </row>
    <row r="253" customFormat="false" ht="15" hidden="false" customHeight="false" outlineLevel="0" collapsed="false">
      <c r="E253" s="20" t="n">
        <v>26500</v>
      </c>
      <c r="F253" s="17" t="n">
        <f aca="false">(2*PI()*mE*kB*E253/hP^2)^1.5*EXP(-13.598*eV/(kB*E253))/($B$7/(kB*E253))/(1+(2*PI()*mE*kB*E253/hP^2)^1.5*EXP(-13.598*eV/(kB*E253))/($B$7/(kB*E253)))</f>
        <v>0.999997976781171</v>
      </c>
      <c r="G253" s="17" t="n">
        <f aca="false">100000*(4*EXP(-10.199*eV/(kB*E253)))/(1+4*EXP(-10.199*eV/(kB*E253)))/(1+(2*PI()*mE*kB*E253/hP^2)^1.5*EXP(-13.598*eV/(kB*E253))/($B$7/(kB*E253)))</f>
        <v>0.00889073038842172</v>
      </c>
    </row>
    <row r="254" customFormat="false" ht="15" hidden="false" customHeight="false" outlineLevel="0" collapsed="false">
      <c r="E254" s="20" t="n">
        <v>26600</v>
      </c>
      <c r="F254" s="17" t="n">
        <f aca="false">(2*PI()*mE*kB*E254/hP^2)^1.5*EXP(-13.598*eV/(kB*E254))/($B$7/(kB*E254))/(1+(2*PI()*mE*kB*E254/hP^2)^1.5*EXP(-13.598*eV/(kB*E254))/($B$7/(kB*E254)))</f>
        <v>0.999998040111321</v>
      </c>
      <c r="G254" s="17" t="n">
        <f aca="false">100000*(4*EXP(-10.199*eV/(kB*E254)))/(1+4*EXP(-10.199*eV/(kB*E254)))/(1+(2*PI()*mE*kB*E254/hP^2)^1.5*EXP(-13.598*eV/(kB*E254))/($B$7/(kB*E254)))</f>
        <v>0.00875174958976582</v>
      </c>
    </row>
    <row r="255" customFormat="false" ht="15" hidden="false" customHeight="false" outlineLevel="0" collapsed="false">
      <c r="E255" s="20" t="n">
        <v>26700</v>
      </c>
      <c r="F255" s="17" t="n">
        <f aca="false">(2*PI()*mE*kB*E255/hP^2)^1.5*EXP(-13.598*eV/(kB*E255))/($B$7/(kB*E255))/(1+(2*PI()*mE*kB*E255/hP^2)^1.5*EXP(-13.598*eV/(kB*E255))/($B$7/(kB*E255)))</f>
        <v>0.999998101073659</v>
      </c>
      <c r="G255" s="17" t="n">
        <f aca="false">100000*(4*EXP(-10.199*eV/(kB*E255)))/(1+4*EXP(-10.199*eV/(kB*E255)))/(1+(2*PI()*mE*kB*E255/hP^2)^1.5*EXP(-13.598*eV/(kB*E255))/($B$7/(kB*E255)))</f>
        <v>0.00861555239360493</v>
      </c>
    </row>
    <row r="256" customFormat="false" ht="15" hidden="false" customHeight="false" outlineLevel="0" collapsed="false">
      <c r="E256" s="20" t="n">
        <v>26800</v>
      </c>
      <c r="F256" s="17" t="n">
        <f aca="false">(2*PI()*mE*kB*E256/hP^2)^1.5*EXP(-13.598*eV/(kB*E256))/($B$7/(kB*E256))/(1+(2*PI()*mE*kB*E256/hP^2)^1.5*EXP(-13.598*eV/(kB*E256))/($B$7/(kB*E256)))</f>
        <v>0.999998159770146</v>
      </c>
      <c r="G256" s="17" t="n">
        <f aca="false">100000*(4*EXP(-10.199*eV/(kB*E256)))/(1+4*EXP(-10.199*eV/(kB*E256)))/(1+(2*PI()*mE*kB*E256/hP^2)^1.5*EXP(-13.598*eV/(kB*E256))/($B$7/(kB*E256)))</f>
        <v>0.00848207029772411</v>
      </c>
    </row>
    <row r="257" customFormat="false" ht="15" hidden="false" customHeight="false" outlineLevel="0" collapsed="false">
      <c r="E257" s="20" t="n">
        <v>26900</v>
      </c>
      <c r="F257" s="17" t="n">
        <f aca="false">(2*PI()*mE*kB*E257/hP^2)^1.5*EXP(-13.598*eV/(kB*E257))/($B$7/(kB*E257))/(1+(2*PI()*mE*kB*E257/hP^2)^1.5*EXP(-13.598*eV/(kB*E257))/($B$7/(kB*E257)))</f>
        <v>0.999998216297804</v>
      </c>
      <c r="G257" s="17" t="n">
        <f aca="false">100000*(4*EXP(-10.199*eV/(kB*E257)))/(1+4*EXP(-10.199*eV/(kB*E257)))/(1+(2*PI()*mE*kB*E257/hP^2)^1.5*EXP(-13.598*eV/(kB*E257))/($B$7/(kB*E257)))</f>
        <v>0.00835123680345466</v>
      </c>
    </row>
    <row r="258" customFormat="false" ht="15" hidden="false" customHeight="false" outlineLevel="0" collapsed="false">
      <c r="E258" s="20" t="n">
        <v>27000</v>
      </c>
      <c r="F258" s="17" t="n">
        <f aca="false">(2*PI()*mE*kB*E258/hP^2)^1.5*EXP(-13.598*eV/(kB*E258))/($B$7/(kB*E258))/(1+(2*PI()*mE*kB*E258/hP^2)^1.5*EXP(-13.598*eV/(kB*E258))/($B$7/(kB*E258)))</f>
        <v>0.999998270748979</v>
      </c>
      <c r="G258" s="17" t="n">
        <f aca="false">100000*(4*EXP(-10.199*eV/(kB*E258)))/(1+4*EXP(-10.199*eV/(kB*E258)))/(1+(2*PI()*mE*kB*E258/hP^2)^1.5*EXP(-13.598*eV/(kB*E258))/($B$7/(kB*E258)))</f>
        <v>0.00822298734794919</v>
      </c>
    </row>
    <row r="259" customFormat="false" ht="15" hidden="false" customHeight="false" outlineLevel="0" collapsed="false">
      <c r="E259" s="20" t="n">
        <v>27100</v>
      </c>
      <c r="F259" s="17" t="n">
        <f aca="false">(2*PI()*mE*kB*E259/hP^2)^1.5*EXP(-13.598*eV/(kB*E259))/($B$7/(kB*E259))/(1+(2*PI()*mE*kB*E259/hP^2)^1.5*EXP(-13.598*eV/(kB*E259))/($B$7/(kB*E259)))</f>
        <v>0.999998323211592</v>
      </c>
      <c r="G259" s="17" t="n">
        <f aca="false">100000*(4*EXP(-10.199*eV/(kB*E259)))/(1+4*EXP(-10.199*eV/(kB*E259)))/(1+(2*PI()*mE*kB*E259/hP^2)^1.5*EXP(-13.598*eV/(kB*E259))/($B$7/(kB*E259)))</f>
        <v>0.00809725923904484</v>
      </c>
    </row>
    <row r="260" customFormat="false" ht="15" hidden="false" customHeight="false" outlineLevel="0" collapsed="false">
      <c r="E260" s="20" t="n">
        <v>27200</v>
      </c>
      <c r="F260" s="17" t="n">
        <f aca="false">(2*PI()*mE*kB*E260/hP^2)^1.5*EXP(-13.598*eV/(kB*E260))/($B$7/(kB*E260))/(1+(2*PI()*mE*kB*E260/hP^2)^1.5*EXP(-13.598*eV/(kB*E260))/($B$7/(kB*E260)))</f>
        <v>0.999998373769374</v>
      </c>
      <c r="G260" s="17" t="n">
        <f aca="false">100000*(4*EXP(-10.199*eV/(kB*E260)))/(1+4*EXP(-10.199*eV/(kB*E260)))/(1+(2*PI()*mE*kB*E260/hP^2)^1.5*EXP(-13.598*eV/(kB*E260))/($B$7/(kB*E260)))</f>
        <v>0.00797399159260455</v>
      </c>
    </row>
    <row r="261" customFormat="false" ht="15" hidden="false" customHeight="false" outlineLevel="0" collapsed="false">
      <c r="E261" s="20" t="n">
        <v>27300</v>
      </c>
      <c r="F261" s="17" t="n">
        <f aca="false">(2*PI()*mE*kB*E261/hP^2)^1.5*EXP(-13.598*eV/(kB*E261))/($B$7/(kB*E261))/(1+(2*PI()*mE*kB*E261/hP^2)^1.5*EXP(-13.598*eV/(kB*E261))/($B$7/(kB*E261)))</f>
        <v>0.999998422502085</v>
      </c>
      <c r="G261" s="17" t="n">
        <f aca="false">100000*(4*EXP(-10.199*eV/(kB*E261)))/(1+4*EXP(-10.199*eV/(kB*E261)))/(1+(2*PI()*mE*kB*E261/hP^2)^1.5*EXP(-13.598*eV/(kB*E261))/($B$7/(kB*E261)))</f>
        <v>0.00785312527223178</v>
      </c>
    </row>
    <row r="262" customFormat="false" ht="15" hidden="false" customHeight="false" outlineLevel="0" collapsed="false">
      <c r="E262" s="20" t="n">
        <v>27400</v>
      </c>
      <c r="F262" s="17" t="n">
        <f aca="false">(2*PI()*mE*kB*E262/hP^2)^1.5*EXP(-13.598*eV/(kB*E262))/($B$7/(kB*E262))/(1+(2*PI()*mE*kB*E262/hP^2)^1.5*EXP(-13.598*eV/(kB*E262))/($B$7/(kB*E262)))</f>
        <v>0.999998469485726</v>
      </c>
      <c r="G262" s="17" t="n">
        <f aca="false">100000*(4*EXP(-10.199*eV/(kB*E262)))/(1+4*EXP(-10.199*eV/(kB*E262)))/(1+(2*PI()*mE*kB*E262/hP^2)^1.5*EXP(-13.598*eV/(kB*E262))/($B$7/(kB*E262)))</f>
        <v>0.00773460283125834</v>
      </c>
    </row>
    <row r="263" customFormat="false" ht="15" hidden="false" customHeight="false" outlineLevel="0" collapsed="false">
      <c r="E263" s="20" t="n">
        <v>27500</v>
      </c>
      <c r="F263" s="17" t="n">
        <f aca="false">(2*PI()*mE*kB*E263/hP^2)^1.5*EXP(-13.598*eV/(kB*E263))/($B$7/(kB*E263))/(1+(2*PI()*mE*kB*E263/hP^2)^1.5*EXP(-13.598*eV/(kB*E263))/($B$7/(kB*E263)))</f>
        <v>0.999998514792732</v>
      </c>
      <c r="G263" s="17" t="n">
        <f aca="false">100000*(4*EXP(-10.199*eV/(kB*E263)))/(1+4*EXP(-10.199*eV/(kB*E263)))/(1+(2*PI()*mE*kB*E263/hP^2)^1.5*EXP(-13.598*eV/(kB*E263))/($B$7/(kB*E263)))</f>
        <v>0.00761836845691037</v>
      </c>
    </row>
    <row r="264" customFormat="false" ht="15" hidden="false" customHeight="false" outlineLevel="0" collapsed="false">
      <c r="E264" s="20" t="n">
        <v>27600</v>
      </c>
      <c r="F264" s="17" t="n">
        <f aca="false">(2*PI()*mE*kB*E264/hP^2)^1.5*EXP(-13.598*eV/(kB*E264))/($B$7/(kB*E264))/(1+(2*PI()*mE*kB*E264/hP^2)^1.5*EXP(-13.598*eV/(kB*E264))/($B$7/(kB*E264)))</f>
        <v>0.999998558492157</v>
      </c>
      <c r="G264" s="17" t="n">
        <f aca="false">100000*(4*EXP(-10.199*eV/(kB*E264)))/(1+4*EXP(-10.199*eV/(kB*E264)))/(1+(2*PI()*mE*kB*E264/hP^2)^1.5*EXP(-13.598*eV/(kB*E264))/($B$7/(kB*E264)))</f>
        <v>0.00750436791656116</v>
      </c>
    </row>
    <row r="265" customFormat="false" ht="15" hidden="false" customHeight="false" outlineLevel="0" collapsed="false">
      <c r="E265" s="20" t="n">
        <v>27700</v>
      </c>
      <c r="F265" s="17" t="n">
        <f aca="false">(2*PI()*mE*kB*E265/hP^2)^1.5*EXP(-13.598*eV/(kB*E265))/($B$7/(kB*E265))/(1+(2*PI()*mE*kB*E265/hP^2)^1.5*EXP(-13.598*eV/(kB*E265))/($B$7/(kB*E265)))</f>
        <v>0.999998600649852</v>
      </c>
      <c r="G265" s="17" t="n">
        <f aca="false">100000*(4*EXP(-10.199*eV/(kB*E265)))/(1+4*EXP(-10.199*eV/(kB*E265)))/(1+(2*PI()*mE*kB*E265/hP^2)^1.5*EXP(-13.598*eV/(kB*E265))/($B$7/(kB*E265)))</f>
        <v>0.00739254850598423</v>
      </c>
    </row>
    <row r="266" customFormat="false" ht="15" hidden="false" customHeight="false" outlineLevel="0" collapsed="false">
      <c r="E266" s="20" t="n">
        <v>27800</v>
      </c>
      <c r="F266" s="17" t="n">
        <f aca="false">(2*PI()*mE*kB*E266/hP^2)^1.5*EXP(-13.598*eV/(kB*E266))/($B$7/(kB*E266))/(1+(2*PI()*mE*kB*E266/hP^2)^1.5*EXP(-13.598*eV/(kB*E266))/($B$7/(kB*E266)))</f>
        <v>0.999998641328628</v>
      </c>
      <c r="G266" s="17" t="n">
        <f aca="false">100000*(4*EXP(-10.199*eV/(kB*E266)))/(1+4*EXP(-10.199*eV/(kB*E266)))/(1+(2*PI()*mE*kB*E266/hP^2)^1.5*EXP(-13.598*eV/(kB*E266))/($B$7/(kB*E266)))</f>
        <v>0.00728285899952377</v>
      </c>
    </row>
    <row r="267" customFormat="false" ht="15" hidden="false" customHeight="false" outlineLevel="0" collapsed="false">
      <c r="E267" s="20" t="n">
        <v>27900</v>
      </c>
      <c r="F267" s="17" t="n">
        <f aca="false">(2*PI()*mE*kB*E267/hP^2)^1.5*EXP(-13.598*eV/(kB*E267))/($B$7/(kB*E267))/(1+(2*PI()*mE*kB*E267/hP^2)^1.5*EXP(-13.598*eV/(kB*E267))/($B$7/(kB*E267)))</f>
        <v>0.99999868058841</v>
      </c>
      <c r="G267" s="17" t="n">
        <f aca="false">100000*(4*EXP(-10.199*eV/(kB*E267)))/(1+4*EXP(-10.199*eV/(kB*E267)))/(1+(2*PI()*mE*kB*E267/hP^2)^1.5*EXP(-13.598*eV/(kB*E267))/($B$7/(kB*E267)))</f>
        <v>0.00717524960210344</v>
      </c>
    </row>
    <row r="268" customFormat="false" ht="15" hidden="false" customHeight="false" outlineLevel="0" collapsed="false">
      <c r="E268" s="20" t="n">
        <v>28000</v>
      </c>
      <c r="F268" s="17" t="n">
        <f aca="false">(2*PI()*mE*kB*E268/hP^2)^1.5*EXP(-13.598*eV/(kB*E268))/($B$7/(kB*E268))/(1+(2*PI()*mE*kB*E268/hP^2)^1.5*EXP(-13.598*eV/(kB*E268))/($B$7/(kB*E268)))</f>
        <v>0.999998718486387</v>
      </c>
      <c r="G268" s="17" t="n">
        <f aca="false">100000*(4*EXP(-10.199*eV/(kB*E268)))/(1+4*EXP(-10.199*eV/(kB*E268)))/(1+(2*PI()*mE*kB*E268/hP^2)^1.5*EXP(-13.598*eV/(kB*E268))/($B$7/(kB*E268)))</f>
        <v>0.00706967190299797</v>
      </c>
    </row>
    <row r="269" customFormat="false" ht="15" hidden="false" customHeight="false" outlineLevel="0" collapsed="false">
      <c r="E269" s="20" t="n">
        <v>28100</v>
      </c>
      <c r="F269" s="17" t="n">
        <f aca="false">(2*PI()*mE*kB*E269/hP^2)^1.5*EXP(-13.598*eV/(kB*E269))/($B$7/(kB*E269))/(1+(2*PI()*mE*kB*E269/hP^2)^1.5*EXP(-13.598*eV/(kB*E269))/($B$7/(kB*E269)))</f>
        <v>0.999998755077148</v>
      </c>
      <c r="G269" s="17" t="n">
        <f aca="false">100000*(4*EXP(-10.199*eV/(kB*E269)))/(1+4*EXP(-10.199*eV/(kB*E269)))/(1+(2*PI()*mE*kB*E269/hP^2)^1.5*EXP(-13.598*eV/(kB*E269))/($B$7/(kB*E269)))</f>
        <v>0.00696607883129563</v>
      </c>
    </row>
    <row r="270" customFormat="false" ht="15" hidden="false" customHeight="false" outlineLevel="0" collapsed="false">
      <c r="E270" s="20" t="n">
        <v>28200</v>
      </c>
      <c r="F270" s="17" t="n">
        <f aca="false">(2*PI()*mE*kB*E270/hP^2)^1.5*EXP(-13.598*eV/(kB*E270))/($B$7/(kB*E270))/(1+(2*PI()*mE*kB*E270/hP^2)^1.5*EXP(-13.598*eV/(kB*E270))/($B$7/(kB*E270)))</f>
        <v>0.999998790412813</v>
      </c>
      <c r="G270" s="17" t="n">
        <f aca="false">100000*(4*EXP(-10.199*eV/(kB*E270)))/(1+4*EXP(-10.199*eV/(kB*E270)))/(1+(2*PI()*mE*kB*E270/hP^2)^1.5*EXP(-13.598*eV/(kB*E270))/($B$7/(kB*E270)))</f>
        <v>0.00686442461298251</v>
      </c>
    </row>
    <row r="271" customFormat="false" ht="15" hidden="false" customHeight="false" outlineLevel="0" collapsed="false">
      <c r="E271" s="20" t="n">
        <v>28300</v>
      </c>
      <c r="F271" s="17" t="n">
        <f aca="false">(2*PI()*mE*kB*E271/hP^2)^1.5*EXP(-13.598*eV/(kB*E271))/($B$7/(kB*E271))/(1+(2*PI()*mE*kB*E271/hP^2)^1.5*EXP(-13.598*eV/(kB*E271))/($B$7/(kB*E271)))</f>
        <v>0.99999882454316</v>
      </c>
      <c r="G271" s="17" t="n">
        <f aca="false">100000*(4*EXP(-10.199*eV/(kB*E271)))/(1+4*EXP(-10.199*eV/(kB*E271)))/(1+(2*PI()*mE*kB*E271/hP^2)^1.5*EXP(-13.598*eV/(kB*E271))/($B$7/(kB*E271)))</f>
        <v>0.00676466472958321</v>
      </c>
    </row>
    <row r="272" customFormat="false" ht="15" hidden="false" customHeight="false" outlineLevel="0" collapsed="false">
      <c r="E272" s="20" t="n">
        <v>28400</v>
      </c>
      <c r="F272" s="17" t="n">
        <f aca="false">(2*PI()*mE*kB*E272/hP^2)^1.5*EXP(-13.598*eV/(kB*E272))/($B$7/(kB*E272))/(1+(2*PI()*mE*kB*E272/hP^2)^1.5*EXP(-13.598*eV/(kB*E272))/($B$7/(kB*E272)))</f>
        <v>0.999998857515737</v>
      </c>
      <c r="G272" s="17" t="n">
        <f aca="false">100000*(4*EXP(-10.199*eV/(kB*E272)))/(1+4*EXP(-10.199*eV/(kB*E272)))/(1+(2*PI()*mE*kB*E272/hP^2)^1.5*EXP(-13.598*eV/(kB*E272))/($B$7/(kB*E272)))</f>
        <v>0.00666675587829473</v>
      </c>
    </row>
    <row r="273" customFormat="false" ht="15" hidden="false" customHeight="false" outlineLevel="0" collapsed="false">
      <c r="E273" s="20" t="n">
        <v>28500</v>
      </c>
      <c r="F273" s="17" t="n">
        <f aca="false">(2*PI()*mE*kB*E273/hP^2)^1.5*EXP(-13.598*eV/(kB*E273))/($B$7/(kB*E273))/(1+(2*PI()*mE*kB*E273/hP^2)^1.5*EXP(-13.598*eV/(kB*E273))/($B$7/(kB*E273)))</f>
        <v>0.999998889375976</v>
      </c>
      <c r="G273" s="17" t="n">
        <f aca="false">100000*(4*EXP(-10.199*eV/(kB*E273)))/(1+4*EXP(-10.199*eV/(kB*E273)))/(1+(2*PI()*mE*kB*E273/hP^2)^1.5*EXP(-13.598*eV/(kB*E273))/($B$7/(kB*E273)))</f>
        <v>0.00657065593355384</v>
      </c>
    </row>
    <row r="274" customFormat="false" ht="15" hidden="false" customHeight="false" outlineLevel="0" collapsed="false">
      <c r="E274" s="20" t="n">
        <v>28600</v>
      </c>
      <c r="F274" s="17" t="n">
        <f aca="false">(2*PI()*mE*kB*E274/hP^2)^1.5*EXP(-13.598*eV/(kB*E274))/($B$7/(kB*E274))/(1+(2*PI()*mE*kB*E274/hP^2)^1.5*EXP(-13.598*eV/(kB*E274))/($B$7/(kB*E274)))</f>
        <v>0.999998920167297</v>
      </c>
      <c r="G274" s="17" t="n">
        <f aca="false">100000*(4*EXP(-10.199*eV/(kB*E274)))/(1+4*EXP(-10.199*eV/(kB*E274)))/(1+(2*PI()*mE*kB*E274/hP^2)^1.5*EXP(-13.598*eV/(kB*E274))/($B$7/(kB*E274)))</f>
        <v>0.00647632390998039</v>
      </c>
    </row>
    <row r="275" customFormat="false" ht="15" hidden="false" customHeight="false" outlineLevel="0" collapsed="false">
      <c r="E275" s="20" t="n">
        <v>28700</v>
      </c>
      <c r="F275" s="17" t="n">
        <f aca="false">(2*PI()*mE*kB*E275/hP^2)^1.5*EXP(-13.598*eV/(kB*E275))/($B$7/(kB*E275))/(1+(2*PI()*mE*kB*E275/hP^2)^1.5*EXP(-13.598*eV/(kB*E275))/($B$7/(kB*E275)))</f>
        <v>0.999998949931208</v>
      </c>
      <c r="G275" s="17" t="n">
        <f aca="false">100000*(4*EXP(-10.199*eV/(kB*E275)))/(1+4*EXP(-10.199*eV/(kB*E275)))/(1+(2*PI()*mE*kB*E275/hP^2)^1.5*EXP(-13.598*eV/(kB*E275))/($B$7/(kB*E275)))</f>
        <v>0.00638371992664173</v>
      </c>
    </row>
    <row r="276" customFormat="false" ht="15" hidden="false" customHeight="false" outlineLevel="0" collapsed="false">
      <c r="E276" s="20" t="n">
        <v>28800</v>
      </c>
      <c r="F276" s="17" t="n">
        <f aca="false">(2*PI()*mE*kB*E276/hP^2)^1.5*EXP(-13.598*eV/(kB*E276))/($B$7/(kB*E276))/(1+(2*PI()*mE*kB*E276/hP^2)^1.5*EXP(-13.598*eV/(kB*E276))/($B$7/(kB*E276)))</f>
        <v>0.999998978707393</v>
      </c>
      <c r="G276" s="17" t="n">
        <f aca="false">100000*(4*EXP(-10.199*eV/(kB*E276)))/(1+4*EXP(-10.199*eV/(kB*E276)))/(1+(2*PI()*mE*kB*E276/hP^2)^1.5*EXP(-13.598*eV/(kB*E276))/($B$7/(kB*E276)))</f>
        <v>0.00629280517258583</v>
      </c>
    </row>
    <row r="277" customFormat="false" ht="15" hidden="false" customHeight="false" outlineLevel="0" collapsed="false">
      <c r="E277" s="20" t="n">
        <v>28900</v>
      </c>
      <c r="F277" s="17" t="n">
        <f aca="false">(2*PI()*mE*kB*E277/hP^2)^1.5*EXP(-13.598*eV/(kB*E277))/($B$7/(kB*E277))/(1+(2*PI()*mE*kB*E277/hP^2)^1.5*EXP(-13.598*eV/(kB*E277))/($B$7/(kB*E277)))</f>
        <v>0.999999006533809</v>
      </c>
      <c r="G277" s="17" t="n">
        <f aca="false">100000*(4*EXP(-10.199*eV/(kB*E277)))/(1+4*EXP(-10.199*eV/(kB*E277)))/(1+(2*PI()*mE*kB*E277/hP^2)^1.5*EXP(-13.598*eV/(kB*E277))/($B$7/(kB*E277)))</f>
        <v>0.00620354187359291</v>
      </c>
    </row>
    <row r="278" customFormat="false" ht="15" hidden="false" customHeight="false" outlineLevel="0" collapsed="false">
      <c r="E278" s="20" t="n">
        <v>29000</v>
      </c>
      <c r="F278" s="17" t="n">
        <f aca="false">(2*PI()*mE*kB*E278/hP^2)^1.5*EXP(-13.598*eV/(kB*E278))/($B$7/(kB*E278))/(1+(2*PI()*mE*kB*E278/hP^2)^1.5*EXP(-13.598*eV/(kB*E278))/($B$7/(kB*E278)))</f>
        <v>0.999999033446763</v>
      </c>
      <c r="G278" s="17" t="n">
        <f aca="false">100000*(4*EXP(-10.199*eV/(kB*E278)))/(1+4*EXP(-10.199*eV/(kB*E278)))/(1+(2*PI()*mE*kB*E278/hP^2)^1.5*EXP(-13.598*eV/(kB*E278))/($B$7/(kB*E278)))</f>
        <v>0.00611589326009762</v>
      </c>
    </row>
    <row r="279" customFormat="false" ht="15" hidden="false" customHeight="false" outlineLevel="0" collapsed="false">
      <c r="E279" s="20" t="n">
        <v>29100</v>
      </c>
      <c r="F279" s="17" t="n">
        <f aca="false">(2*PI()*mE*kB*E279/hP^2)^1.5*EXP(-13.598*eV/(kB*E279))/($B$7/(kB*E279))/(1+(2*PI()*mE*kB*E279/hP^2)^1.5*EXP(-13.598*eV/(kB*E279))/($B$7/(kB*E279)))</f>
        <v>0.999999059480995</v>
      </c>
      <c r="G279" s="17" t="n">
        <f aca="false">100000*(4*EXP(-10.199*eV/(kB*E279)))/(1+4*EXP(-10.199*eV/(kB*E279)))/(1+(2*PI()*mE*kB*E279/hP^2)^1.5*EXP(-13.598*eV/(kB*E279))/($B$7/(kB*E279)))</f>
        <v>0.0060298235362358</v>
      </c>
    </row>
    <row r="280" customFormat="false" ht="15" hidden="false" customHeight="false" outlineLevel="0" collapsed="false">
      <c r="E280" s="20" t="n">
        <v>29200</v>
      </c>
      <c r="F280" s="17" t="n">
        <f aca="false">(2*PI()*mE*kB*E280/hP^2)^1.5*EXP(-13.598*eV/(kB*E280))/($B$7/(kB*E280))/(1+(2*PI()*mE*kB*E280/hP^2)^1.5*EXP(-13.598*eV/(kB*E280))/($B$7/(kB*E280)))</f>
        <v>0.999999084669752</v>
      </c>
      <c r="G280" s="17" t="n">
        <f aca="false">100000*(4*EXP(-10.199*eV/(kB*E280)))/(1+4*EXP(-10.199*eV/(kB*E280)))/(1+(2*PI()*mE*kB*E280/hP^2)^1.5*EXP(-13.598*eV/(kB*E280))/($B$7/(kB*E280)))</f>
        <v>0.00594529784997205</v>
      </c>
    </row>
    <row r="281" customFormat="false" ht="15" hidden="false" customHeight="false" outlineLevel="0" collapsed="false">
      <c r="E281" s="20" t="n">
        <v>29300</v>
      </c>
      <c r="F281" s="17" t="n">
        <f aca="false">(2*PI()*mE*kB*E281/hP^2)^1.5*EXP(-13.598*eV/(kB*E281))/($B$7/(kB*E281))/(1+(2*PI()*mE*kB*E281/hP^2)^1.5*EXP(-13.598*eV/(kB*E281))/($B$7/(kB*E281)))</f>
        <v>0.999999109044858</v>
      </c>
      <c r="G281" s="17" t="n">
        <f aca="false">100000*(4*EXP(-10.199*eV/(kB*E281)))/(1+4*EXP(-10.199*eV/(kB*E281)))/(1+(2*PI()*mE*kB*E281/hP^2)^1.5*EXP(-13.598*eV/(kB*E281))/($B$7/(kB*E281)))</f>
        <v>0.00586228226426586</v>
      </c>
    </row>
    <row r="282" customFormat="false" ht="15" hidden="false" customHeight="false" outlineLevel="0" collapsed="false">
      <c r="E282" s="20" t="n">
        <v>29400</v>
      </c>
      <c r="F282" s="17" t="n">
        <f aca="false">(2*PI()*mE*kB*E282/hP^2)^1.5*EXP(-13.598*eV/(kB*E282))/($B$7/(kB*E282))/(1+(2*PI()*mE*kB*E282/hP^2)^1.5*EXP(-13.598*eV/(kB*E282))/($B$7/(kB*E282)))</f>
        <v>0.999999132636785</v>
      </c>
      <c r="G282" s="17" t="n">
        <f aca="false">100000*(4*EXP(-10.199*eV/(kB*E282)))/(1+4*EXP(-10.199*eV/(kB*E282)))/(1+(2*PI()*mE*kB*E282/hP^2)^1.5*EXP(-13.598*eV/(kB*E282))/($B$7/(kB*E282)))</f>
        <v>0.00578074372923629</v>
      </c>
    </row>
    <row r="283" customFormat="false" ht="15" hidden="false" customHeight="false" outlineLevel="0" collapsed="false">
      <c r="E283" s="20" t="n">
        <v>29500</v>
      </c>
      <c r="F283" s="17" t="n">
        <f aca="false">(2*PI()*mE*kB*E283/hP^2)^1.5*EXP(-13.598*eV/(kB*E283))/($B$7/(kB*E283))/(1+(2*PI()*mE*kB*E283/hP^2)^1.5*EXP(-13.598*eV/(kB*E283))/($B$7/(kB*E283)))</f>
        <v>0.999999155474712</v>
      </c>
      <c r="G283" s="17" t="n">
        <f aca="false">100000*(4*EXP(-10.199*eV/(kB*E283)))/(1+4*EXP(-10.199*eV/(kB*E283)))/(1+(2*PI()*mE*kB*E283/hP^2)^1.5*EXP(-13.598*eV/(kB*E283))/($B$7/(kB*E283)))</f>
        <v>0.00570065005528649</v>
      </c>
    </row>
    <row r="284" customFormat="false" ht="15" hidden="false" customHeight="false" outlineLevel="0" collapsed="false">
      <c r="E284" s="20" t="n">
        <v>29600</v>
      </c>
      <c r="F284" s="17" t="n">
        <f aca="false">(2*PI()*mE*kB*E284/hP^2)^1.5*EXP(-13.598*eV/(kB*E284))/($B$7/(kB*E284))/(1+(2*PI()*mE*kB*E284/hP^2)^1.5*EXP(-13.598*eV/(kB*E284))/($B$7/(kB*E284)))</f>
        <v>0.999999177586593</v>
      </c>
      <c r="G284" s="17" t="n">
        <f aca="false">100000*(4*EXP(-10.199*eV/(kB*E284)))/(1+4*EXP(-10.199*eV/(kB*E284)))/(1+(2*PI()*mE*kB*E284/hP^2)^1.5*EXP(-13.598*eV/(kB*E284))/($B$7/(kB*E284)))</f>
        <v>0.00562196988715131</v>
      </c>
    </row>
    <row r="285" customFormat="false" ht="15" hidden="false" customHeight="false" outlineLevel="0" collapsed="false">
      <c r="E285" s="20" t="n">
        <v>29700</v>
      </c>
      <c r="F285" s="17" t="n">
        <f aca="false">(2*PI()*mE*kB*E285/hP^2)^1.5*EXP(-13.598*eV/(kB*E285))/($B$7/(kB*E285))/(1+(2*PI()*mE*kB*E285/hP^2)^1.5*EXP(-13.598*eV/(kB*E285))/($B$7/(kB*E285)))</f>
        <v>0.999999198999204</v>
      </c>
      <c r="G285" s="17" t="n">
        <f aca="false">100000*(4*EXP(-10.199*eV/(kB*E285)))/(1+4*EXP(-10.199*eV/(kB*E285)))/(1+(2*PI()*mE*kB*E285/hP^2)^1.5*EXP(-13.598*eV/(kB*E285))/($B$7/(kB*E285)))</f>
        <v>0.00554467267883253</v>
      </c>
    </row>
    <row r="286" customFormat="false" ht="15" hidden="false" customHeight="false" outlineLevel="0" collapsed="false">
      <c r="E286" s="20" t="n">
        <v>29800</v>
      </c>
      <c r="F286" s="17" t="n">
        <f aca="false">(2*PI()*mE*kB*E286/hP^2)^1.5*EXP(-13.598*eV/(kB*E286))/($B$7/(kB*E286))/(1+(2*PI()*mE*kB*E286/hP^2)^1.5*EXP(-13.598*eV/(kB*E286))/($B$7/(kB*E286)))</f>
        <v>0.99999921973821</v>
      </c>
      <c r="G286" s="17" t="n">
        <f aca="false">100000*(4*EXP(-10.199*eV/(kB*E286)))/(1+4*EXP(-10.199*eV/(kB*E286)))/(1+(2*PI()*mE*kB*E286/hP^2)^1.5*EXP(-13.598*eV/(kB*E286))/($B$7/(kB*E286)))</f>
        <v>0.00546872866938803</v>
      </c>
    </row>
    <row r="287" customFormat="false" ht="15" hidden="false" customHeight="false" outlineLevel="0" collapsed="false">
      <c r="E287" s="20" t="n">
        <v>29900</v>
      </c>
      <c r="F287" s="17" t="n">
        <f aca="false">(2*PI()*mE*kB*E287/hP^2)^1.5*EXP(-13.598*eV/(kB*E287))/($B$7/(kB*E287))/(1+(2*PI()*mE*kB*E287/hP^2)^1.5*EXP(-13.598*eV/(kB*E287))/($B$7/(kB*E287)))</f>
        <v>0.999999239828207</v>
      </c>
      <c r="G287" s="17" t="n">
        <f aca="false">100000*(4*EXP(-10.199*eV/(kB*E287)))/(1+4*EXP(-10.199*eV/(kB*E287)))/(1+(2*PI()*mE*kB*E287/hP^2)^1.5*EXP(-13.598*eV/(kB*E287))/($B$7/(kB*E287)))</f>
        <v>0.00539410885954237</v>
      </c>
    </row>
    <row r="288" customFormat="false" ht="15" hidden="false" customHeight="false" outlineLevel="0" collapsed="false">
      <c r="E288" s="20" t="n">
        <v>30000</v>
      </c>
      <c r="F288" s="17" t="n">
        <f aca="false">(2*PI()*mE*kB*E288/hP^2)^1.5*EXP(-13.598*eV/(kB*E288))/($B$7/(kB*E288))/(1+(2*PI()*mE*kB*E288/hP^2)^1.5*EXP(-13.598*eV/(kB*E288))/($B$7/(kB*E288)))</f>
        <v>0.999999259292774</v>
      </c>
      <c r="G288" s="17" t="n">
        <f aca="false">100000*(4*EXP(-10.199*eV/(kB*E288)))/(1+4*EXP(-10.199*eV/(kB*E288)))/(1+(2*PI()*mE*kB*E288/hP^2)^1.5*EXP(-13.598*eV/(kB*E288))/($B$7/(kB*E288)))</f>
        <v>0.00532078498908771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173</v>
      </c>
    </row>
    <row r="2" customFormat="false" ht="15" hidden="false" customHeight="false" outlineLevel="0" collapsed="false">
      <c r="A2" s="2" t="s">
        <v>174</v>
      </c>
    </row>
    <row r="3" customFormat="false" ht="15" hidden="false" customHeight="false" outlineLevel="0" collapsed="false">
      <c r="A3" s="9" t="s">
        <v>175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176</v>
      </c>
      <c r="B6" s="11" t="n">
        <v>0.4</v>
      </c>
      <c r="C6" s="7"/>
    </row>
    <row r="7" customFormat="false" ht="15" hidden="false" customHeight="false" outlineLevel="0" collapsed="false">
      <c r="A7" s="2" t="s">
        <v>177</v>
      </c>
      <c r="B7" s="11" t="n">
        <v>0.6</v>
      </c>
      <c r="C7" s="7"/>
    </row>
    <row r="8" customFormat="false" ht="15" hidden="false" customHeight="false" outlineLevel="0" collapsed="false">
      <c r="A8" s="2" t="s">
        <v>178</v>
      </c>
      <c r="B8" s="11" t="n">
        <v>0</v>
      </c>
      <c r="C8" s="7"/>
    </row>
    <row r="9" customFormat="false" ht="15" hidden="false" customHeight="false" outlineLevel="0" collapsed="false">
      <c r="A9" s="2" t="s">
        <v>179</v>
      </c>
      <c r="B9" s="11" t="n">
        <v>0.5</v>
      </c>
      <c r="C9" s="7"/>
    </row>
    <row r="11" customFormat="false" ht="15" hidden="false" customHeight="false" outlineLevel="0" collapsed="false">
      <c r="A11" s="10" t="s">
        <v>47</v>
      </c>
    </row>
    <row r="12" customFormat="false" ht="15" hidden="false" customHeight="false" outlineLevel="0" collapsed="false">
      <c r="A12" s="2" t="s">
        <v>180</v>
      </c>
      <c r="B12" s="13" t="n">
        <f aca="false">$B$6+$B$7*$B$9+2*$B$8*$B$9^2</f>
        <v>0.7</v>
      </c>
      <c r="C12" s="7"/>
    </row>
    <row r="13" customFormat="false" ht="15" hidden="false" customHeight="false" outlineLevel="0" collapsed="false">
      <c r="A13" s="2" t="s">
        <v>181</v>
      </c>
      <c r="B13" s="13" t="n">
        <f aca="false">$B$6+$B$7*$B$9+$B$8*$B$9^2</f>
        <v>0.7</v>
      </c>
      <c r="C13" s="7"/>
    </row>
    <row r="14" customFormat="false" ht="15" hidden="false" customHeight="false" outlineLevel="0" collapsed="false">
      <c r="A14" s="2" t="s">
        <v>182</v>
      </c>
      <c r="B14" s="29" t="n">
        <f aca="false">IF($B$12=0,0,($B$13-$B$12)/$B$12)</f>
        <v>0</v>
      </c>
      <c r="C14" s="7"/>
    </row>
    <row r="15" customFormat="false" ht="15" hidden="false" customHeight="false" outlineLevel="0" collapsed="false">
      <c r="A15" s="2" t="s">
        <v>183</v>
      </c>
      <c r="B15" s="13" t="n">
        <f aca="false">PI()*($B$6+2*$B$7/3+$B$8)</f>
        <v>2.51327412287183</v>
      </c>
      <c r="C15" s="7"/>
    </row>
    <row r="16" customFormat="false" ht="15" hidden="false" customHeight="false" outlineLevel="0" collapsed="false">
      <c r="A16" s="2" t="s">
        <v>184</v>
      </c>
      <c r="B16" s="13" t="n">
        <f aca="false">PI()*($B$6+2*$B$7/3+$B$8*4/9)</f>
        <v>2.51327412287183</v>
      </c>
      <c r="C16" s="7"/>
    </row>
    <row r="17" customFormat="false" ht="15" hidden="false" customHeight="false" outlineLevel="0" collapsed="false">
      <c r="A17" s="2" t="s">
        <v>185</v>
      </c>
      <c r="B17" s="12" t="n">
        <f aca="false">$B$6/($B$6+$B$7+2*$B$8)</f>
        <v>0.4</v>
      </c>
      <c r="C17" s="7"/>
    </row>
    <row r="19" customFormat="false" ht="23.85" hidden="false" customHeight="false" outlineLevel="0" collapsed="false">
      <c r="E19" s="15" t="s">
        <v>186</v>
      </c>
      <c r="F19" s="15" t="s">
        <v>187</v>
      </c>
      <c r="H19" s="15" t="s">
        <v>150</v>
      </c>
      <c r="I19" s="15" t="s">
        <v>188</v>
      </c>
      <c r="J19" s="15" t="s">
        <v>189</v>
      </c>
    </row>
    <row r="20" customFormat="false" ht="15" hidden="false" customHeight="false" outlineLevel="0" collapsed="false">
      <c r="E20" s="16" t="n">
        <f aca="false">0/20</f>
        <v>0</v>
      </c>
      <c r="F20" s="17" t="n">
        <f aca="false">($B$6+$B$7*E20+2*$B$8*E20^2)/($B$6+$B$7+2*$B$8)</f>
        <v>0.4</v>
      </c>
      <c r="H20" s="27" t="n">
        <f aca="false">3*0/40</f>
        <v>0</v>
      </c>
      <c r="I20" s="17" t="n">
        <f aca="false">$B$6+$B$7*H20+$B$8*H20^2</f>
        <v>0.4</v>
      </c>
      <c r="J20" s="17" t="n">
        <f aca="false">EXP(-H20/$B$9)/$B$9</f>
        <v>2</v>
      </c>
    </row>
    <row r="21" customFormat="false" ht="15" hidden="false" customHeight="false" outlineLevel="0" collapsed="false">
      <c r="E21" s="16" t="n">
        <f aca="false">1/20</f>
        <v>0.05</v>
      </c>
      <c r="F21" s="17" t="n">
        <f aca="false">($B$6+$B$7*E21+2*$B$8*E21^2)/($B$6+$B$7+2*$B$8)</f>
        <v>0.43</v>
      </c>
      <c r="H21" s="27" t="n">
        <f aca="false">3*1/40</f>
        <v>0.075</v>
      </c>
      <c r="I21" s="17" t="n">
        <f aca="false">$B$6+$B$7*H21+$B$8*H21^2</f>
        <v>0.445</v>
      </c>
      <c r="J21" s="17" t="n">
        <f aca="false">EXP(-H21/$B$9)/$B$9</f>
        <v>1.72141595285012</v>
      </c>
    </row>
    <row r="22" customFormat="false" ht="15" hidden="false" customHeight="false" outlineLevel="0" collapsed="false">
      <c r="E22" s="16" t="n">
        <f aca="false">2/20</f>
        <v>0.1</v>
      </c>
      <c r="F22" s="17" t="n">
        <f aca="false">($B$6+$B$7*E22+2*$B$8*E22^2)/($B$6+$B$7+2*$B$8)</f>
        <v>0.46</v>
      </c>
      <c r="H22" s="27" t="n">
        <f aca="false">3*2/40</f>
        <v>0.15</v>
      </c>
      <c r="I22" s="17" t="n">
        <f aca="false">$B$6+$B$7*H22+$B$8*H22^2</f>
        <v>0.49</v>
      </c>
      <c r="J22" s="17" t="n">
        <f aca="false">EXP(-H22/$B$9)/$B$9</f>
        <v>1.48163644136344</v>
      </c>
    </row>
    <row r="23" customFormat="false" ht="15" hidden="false" customHeight="false" outlineLevel="0" collapsed="false">
      <c r="E23" s="16" t="n">
        <f aca="false">3/20</f>
        <v>0.15</v>
      </c>
      <c r="F23" s="17" t="n">
        <f aca="false">($B$6+$B$7*E23+2*$B$8*E23^2)/($B$6+$B$7+2*$B$8)</f>
        <v>0.49</v>
      </c>
      <c r="H23" s="27" t="n">
        <f aca="false">3*3/40</f>
        <v>0.225</v>
      </c>
      <c r="I23" s="17" t="n">
        <f aca="false">$B$6+$B$7*H23+$B$8*H23^2</f>
        <v>0.535</v>
      </c>
      <c r="J23" s="17" t="n">
        <f aca="false">EXP(-H23/$B$9)/$B$9</f>
        <v>1.27525630324355</v>
      </c>
    </row>
    <row r="24" customFormat="false" ht="15" hidden="false" customHeight="false" outlineLevel="0" collapsed="false">
      <c r="E24" s="16" t="n">
        <f aca="false">4/20</f>
        <v>0.2</v>
      </c>
      <c r="F24" s="17" t="n">
        <f aca="false">($B$6+$B$7*E24+2*$B$8*E24^2)/($B$6+$B$7+2*$B$8)</f>
        <v>0.52</v>
      </c>
      <c r="H24" s="27" t="n">
        <f aca="false">3*4/40</f>
        <v>0.3</v>
      </c>
      <c r="I24" s="17" t="n">
        <f aca="false">$B$6+$B$7*H24+$B$8*H24^2</f>
        <v>0.58</v>
      </c>
      <c r="J24" s="17" t="n">
        <f aca="false">EXP(-H24/$B$9)/$B$9</f>
        <v>1.09762327218805</v>
      </c>
    </row>
    <row r="25" customFormat="false" ht="15" hidden="false" customHeight="false" outlineLevel="0" collapsed="false">
      <c r="E25" s="16" t="n">
        <f aca="false">5/20</f>
        <v>0.25</v>
      </c>
      <c r="F25" s="17" t="n">
        <f aca="false">($B$6+$B$7*E25+2*$B$8*E25^2)/($B$6+$B$7+2*$B$8)</f>
        <v>0.55</v>
      </c>
      <c r="H25" s="27" t="n">
        <f aca="false">3*5/40</f>
        <v>0.375</v>
      </c>
      <c r="I25" s="17" t="n">
        <f aca="false">$B$6+$B$7*H25+$B$8*H25^2</f>
        <v>0.625</v>
      </c>
      <c r="J25" s="17" t="n">
        <f aca="false">EXP(-H25/$B$9)/$B$9</f>
        <v>0.944733105482029</v>
      </c>
    </row>
    <row r="26" customFormat="false" ht="15" hidden="false" customHeight="false" outlineLevel="0" collapsed="false">
      <c r="E26" s="16" t="n">
        <f aca="false">6/20</f>
        <v>0.3</v>
      </c>
      <c r="F26" s="17" t="n">
        <f aca="false">($B$6+$B$7*E26+2*$B$8*E26^2)/($B$6+$B$7+2*$B$8)</f>
        <v>0.58</v>
      </c>
      <c r="H26" s="27" t="n">
        <f aca="false">3*6/40</f>
        <v>0.45</v>
      </c>
      <c r="I26" s="17" t="n">
        <f aca="false">$B$6+$B$7*H26+$B$8*H26^2</f>
        <v>0.67</v>
      </c>
      <c r="J26" s="17" t="n">
        <f aca="false">EXP(-H26/$B$9)/$B$9</f>
        <v>0.813139319481198</v>
      </c>
    </row>
    <row r="27" customFormat="false" ht="15" hidden="false" customHeight="false" outlineLevel="0" collapsed="false">
      <c r="E27" s="16" t="n">
        <f aca="false">7/20</f>
        <v>0.35</v>
      </c>
      <c r="F27" s="17" t="n">
        <f aca="false">($B$6+$B$7*E27+2*$B$8*E27^2)/($B$6+$B$7+2*$B$8)</f>
        <v>0.61</v>
      </c>
      <c r="H27" s="27" t="n">
        <f aca="false">3*7/40</f>
        <v>0.525</v>
      </c>
      <c r="I27" s="17" t="n">
        <f aca="false">$B$6+$B$7*H27+$B$8*H27^2</f>
        <v>0.715</v>
      </c>
      <c r="J27" s="17" t="n">
        <f aca="false">EXP(-H27/$B$9)/$B$9</f>
        <v>0.699875498222311</v>
      </c>
    </row>
    <row r="28" customFormat="false" ht="15" hidden="false" customHeight="false" outlineLevel="0" collapsed="false">
      <c r="E28" s="16" t="n">
        <f aca="false">8/20</f>
        <v>0.4</v>
      </c>
      <c r="F28" s="17" t="n">
        <f aca="false">($B$6+$B$7*E28+2*$B$8*E28^2)/($B$6+$B$7+2*$B$8)</f>
        <v>0.64</v>
      </c>
      <c r="H28" s="27" t="n">
        <f aca="false">3*8/40</f>
        <v>0.6</v>
      </c>
      <c r="I28" s="17" t="n">
        <f aca="false">$B$6+$B$7*H28+$B$8*H28^2</f>
        <v>0.76</v>
      </c>
      <c r="J28" s="17" t="n">
        <f aca="false">EXP(-H28/$B$9)/$B$9</f>
        <v>0.602388423824404</v>
      </c>
    </row>
    <row r="29" customFormat="false" ht="15" hidden="false" customHeight="false" outlineLevel="0" collapsed="false">
      <c r="E29" s="16" t="n">
        <f aca="false">9/20</f>
        <v>0.45</v>
      </c>
      <c r="F29" s="17" t="n">
        <f aca="false">($B$6+$B$7*E29+2*$B$8*E29^2)/($B$6+$B$7+2*$B$8)</f>
        <v>0.67</v>
      </c>
      <c r="H29" s="27" t="n">
        <f aca="false">3*9/40</f>
        <v>0.675</v>
      </c>
      <c r="I29" s="17" t="n">
        <f aca="false">$B$6+$B$7*H29+$B$8*H29^2</f>
        <v>0.805</v>
      </c>
      <c r="J29" s="17" t="n">
        <f aca="false">EXP(-H29/$B$9)/$B$9</f>
        <v>0.518480521291783</v>
      </c>
    </row>
    <row r="30" customFormat="false" ht="15" hidden="false" customHeight="false" outlineLevel="0" collapsed="false">
      <c r="E30" s="16" t="n">
        <f aca="false">10/20</f>
        <v>0.5</v>
      </c>
      <c r="F30" s="17" t="n">
        <f aca="false">($B$6+$B$7*E30+2*$B$8*E30^2)/($B$6+$B$7+2*$B$8)</f>
        <v>0.7</v>
      </c>
      <c r="H30" s="27" t="n">
        <f aca="false">3*10/40</f>
        <v>0.75</v>
      </c>
      <c r="I30" s="17" t="n">
        <f aca="false">$B$6+$B$7*H30+$B$8*H30^2</f>
        <v>0.85</v>
      </c>
      <c r="J30" s="17" t="n">
        <f aca="false">EXP(-H30/$B$9)/$B$9</f>
        <v>0.44626032029686</v>
      </c>
    </row>
    <row r="31" customFormat="false" ht="15" hidden="false" customHeight="false" outlineLevel="0" collapsed="false">
      <c r="E31" s="16" t="n">
        <f aca="false">11/20</f>
        <v>0.55</v>
      </c>
      <c r="F31" s="17" t="n">
        <f aca="false">($B$6+$B$7*E31+2*$B$8*E31^2)/($B$6+$B$7+2*$B$8)</f>
        <v>0.73</v>
      </c>
      <c r="H31" s="27" t="n">
        <f aca="false">3*11/40</f>
        <v>0.825</v>
      </c>
      <c r="I31" s="17" t="n">
        <f aca="false">$B$6+$B$7*H31+$B$8*H31^2</f>
        <v>0.895</v>
      </c>
      <c r="J31" s="17" t="n">
        <f aca="false">EXP(-H31/$B$9)/$B$9</f>
        <v>0.384099817241508</v>
      </c>
    </row>
    <row r="32" customFormat="false" ht="15" hidden="false" customHeight="false" outlineLevel="0" collapsed="false">
      <c r="E32" s="16" t="n">
        <f aca="false">12/20</f>
        <v>0.6</v>
      </c>
      <c r="F32" s="17" t="n">
        <f aca="false">($B$6+$B$7*E32+2*$B$8*E32^2)/($B$6+$B$7+2*$B$8)</f>
        <v>0.76</v>
      </c>
      <c r="H32" s="27" t="n">
        <f aca="false">3*12/40</f>
        <v>0.9</v>
      </c>
      <c r="I32" s="17" t="n">
        <f aca="false">$B$6+$B$7*H32+$B$8*H32^2</f>
        <v>0.94</v>
      </c>
      <c r="J32" s="17" t="n">
        <f aca="false">EXP(-H32/$B$9)/$B$9</f>
        <v>0.330597776443173</v>
      </c>
    </row>
    <row r="33" customFormat="false" ht="15" hidden="false" customHeight="false" outlineLevel="0" collapsed="false">
      <c r="E33" s="16" t="n">
        <f aca="false">13/20</f>
        <v>0.65</v>
      </c>
      <c r="F33" s="17" t="n">
        <f aca="false">($B$6+$B$7*E33+2*$B$8*E33^2)/($B$6+$B$7+2*$B$8)</f>
        <v>0.79</v>
      </c>
      <c r="H33" s="27" t="n">
        <f aca="false">3*13/40</f>
        <v>0.975</v>
      </c>
      <c r="I33" s="17" t="n">
        <f aca="false">$B$6+$B$7*H33+$B$8*H33^2</f>
        <v>0.985</v>
      </c>
      <c r="J33" s="17" t="n">
        <f aca="false">EXP(-H33/$B$9)/$B$9</f>
        <v>0.284548143173027</v>
      </c>
    </row>
    <row r="34" customFormat="false" ht="15" hidden="false" customHeight="false" outlineLevel="0" collapsed="false">
      <c r="E34" s="16" t="n">
        <f aca="false">14/20</f>
        <v>0.7</v>
      </c>
      <c r="F34" s="17" t="n">
        <f aca="false">($B$6+$B$7*E34+2*$B$8*E34^2)/($B$6+$B$7+2*$B$8)</f>
        <v>0.82</v>
      </c>
      <c r="H34" s="27" t="n">
        <f aca="false">3*14/40</f>
        <v>1.05</v>
      </c>
      <c r="I34" s="17" t="n">
        <f aca="false">$B$6+$B$7*H34+$B$8*H34^2</f>
        <v>1.03</v>
      </c>
      <c r="J34" s="17" t="n">
        <f aca="false">EXP(-H34/$B$9)/$B$9</f>
        <v>0.244912856505964</v>
      </c>
    </row>
    <row r="35" customFormat="false" ht="15" hidden="false" customHeight="false" outlineLevel="0" collapsed="false">
      <c r="E35" s="16" t="n">
        <f aca="false">15/20</f>
        <v>0.75</v>
      </c>
      <c r="F35" s="17" t="n">
        <f aca="false">($B$6+$B$7*E35+2*$B$8*E35^2)/($B$6+$B$7+2*$B$8)</f>
        <v>0.85</v>
      </c>
      <c r="H35" s="27" t="n">
        <f aca="false">3*15/40</f>
        <v>1.125</v>
      </c>
      <c r="I35" s="17" t="n">
        <f aca="false">$B$6+$B$7*H35+$B$8*H35^2</f>
        <v>1.075</v>
      </c>
      <c r="J35" s="17" t="n">
        <f aca="false">EXP(-H35/$B$9)/$B$9</f>
        <v>0.210798449123729</v>
      </c>
    </row>
    <row r="36" customFormat="false" ht="15" hidden="false" customHeight="false" outlineLevel="0" collapsed="false">
      <c r="E36" s="16" t="n">
        <f aca="false">16/20</f>
        <v>0.8</v>
      </c>
      <c r="F36" s="17" t="n">
        <f aca="false">($B$6+$B$7*E36+2*$B$8*E36^2)/($B$6+$B$7+2*$B$8)</f>
        <v>0.88</v>
      </c>
      <c r="H36" s="27" t="n">
        <f aca="false">3*16/40</f>
        <v>1.2</v>
      </c>
      <c r="I36" s="17" t="n">
        <f aca="false">$B$6+$B$7*H36+$B$8*H36^2</f>
        <v>1.12</v>
      </c>
      <c r="J36" s="17" t="n">
        <f aca="false">EXP(-H36/$B$9)/$B$9</f>
        <v>0.181435906578825</v>
      </c>
    </row>
    <row r="37" customFormat="false" ht="15" hidden="false" customHeight="false" outlineLevel="0" collapsed="false">
      <c r="E37" s="16" t="n">
        <f aca="false">17/20</f>
        <v>0.85</v>
      </c>
      <c r="F37" s="17" t="n">
        <f aca="false">($B$6+$B$7*E37+2*$B$8*E37^2)/($B$6+$B$7+2*$B$8)</f>
        <v>0.91</v>
      </c>
      <c r="H37" s="27" t="n">
        <f aca="false">3*17/40</f>
        <v>1.275</v>
      </c>
      <c r="I37" s="17" t="n">
        <f aca="false">$B$6+$B$7*H37+$B$8*H37^2</f>
        <v>1.165</v>
      </c>
      <c r="J37" s="17" t="n">
        <f aca="false">EXP(-H37/$B$9)/$B$9</f>
        <v>0.156163332002306</v>
      </c>
    </row>
    <row r="38" customFormat="false" ht="15" hidden="false" customHeight="false" outlineLevel="0" collapsed="false">
      <c r="E38" s="16" t="n">
        <f aca="false">18/20</f>
        <v>0.9</v>
      </c>
      <c r="F38" s="17" t="n">
        <f aca="false">($B$6+$B$7*E38+2*$B$8*E38^2)/($B$6+$B$7+2*$B$8)</f>
        <v>0.94</v>
      </c>
      <c r="H38" s="27" t="n">
        <f aca="false">3*18/40</f>
        <v>1.35</v>
      </c>
      <c r="I38" s="17" t="n">
        <f aca="false">$B$6+$B$7*H38+$B$8*H38^2</f>
        <v>1.21</v>
      </c>
      <c r="J38" s="17" t="n">
        <f aca="false">EXP(-H38/$B$9)/$B$9</f>
        <v>0.1344110254795</v>
      </c>
    </row>
    <row r="39" customFormat="false" ht="15" hidden="false" customHeight="false" outlineLevel="0" collapsed="false">
      <c r="E39" s="16" t="n">
        <f aca="false">19/20</f>
        <v>0.95</v>
      </c>
      <c r="F39" s="17" t="n">
        <f aca="false">($B$6+$B$7*E39+2*$B$8*E39^2)/($B$6+$B$7+2*$B$8)</f>
        <v>0.97</v>
      </c>
      <c r="H39" s="27" t="n">
        <f aca="false">3*19/40</f>
        <v>1.425</v>
      </c>
      <c r="I39" s="17" t="n">
        <f aca="false">$B$6+$B$7*H39+$B$8*H39^2</f>
        <v>1.255</v>
      </c>
      <c r="J39" s="17" t="n">
        <f aca="false">EXP(-H39/$B$9)/$B$9</f>
        <v>0.115688641749677</v>
      </c>
    </row>
    <row r="40" customFormat="false" ht="15" hidden="false" customHeight="false" outlineLevel="0" collapsed="false">
      <c r="E40" s="16" t="n">
        <f aca="false">20/20</f>
        <v>1</v>
      </c>
      <c r="F40" s="17" t="n">
        <f aca="false">($B$6+$B$7*E40+2*$B$8*E40^2)/($B$6+$B$7+2*$B$8)</f>
        <v>1</v>
      </c>
      <c r="H40" s="27" t="n">
        <f aca="false">3*20/40</f>
        <v>1.5</v>
      </c>
      <c r="I40" s="17" t="n">
        <f aca="false">$B$6+$B$7*H40+$B$8*H40^2</f>
        <v>1.3</v>
      </c>
      <c r="J40" s="17" t="n">
        <f aca="false">EXP(-H40/$B$9)/$B$9</f>
        <v>0.0995741367357279</v>
      </c>
    </row>
    <row r="41" customFormat="false" ht="15" hidden="false" customHeight="false" outlineLevel="0" collapsed="false">
      <c r="H41" s="27" t="n">
        <f aca="false">3*21/40</f>
        <v>1.575</v>
      </c>
      <c r="I41" s="17" t="n">
        <f aca="false">$B$6+$B$7*H41+$B$8*H41^2</f>
        <v>1.345</v>
      </c>
      <c r="J41" s="17" t="n">
        <f aca="false">EXP(-H41/$B$9)/$B$9</f>
        <v>0.0857042537340804</v>
      </c>
    </row>
    <row r="42" customFormat="false" ht="15" hidden="false" customHeight="false" outlineLevel="0" collapsed="false">
      <c r="H42" s="27" t="n">
        <f aca="false">3*22/40</f>
        <v>1.65</v>
      </c>
      <c r="I42" s="17" t="n">
        <f aca="false">$B$6+$B$7*H42+$B$8*H42^2</f>
        <v>1.39</v>
      </c>
      <c r="J42" s="17" t="n">
        <f aca="false">EXP(-H42/$B$9)/$B$9</f>
        <v>0.07376633480248</v>
      </c>
    </row>
    <row r="43" customFormat="false" ht="15" hidden="false" customHeight="false" outlineLevel="0" collapsed="false">
      <c r="H43" s="27" t="n">
        <f aca="false">3*23/40</f>
        <v>1.725</v>
      </c>
      <c r="I43" s="17" t="n">
        <f aca="false">$B$6+$B$7*H43+$B$8*H43^2</f>
        <v>1.435</v>
      </c>
      <c r="J43" s="17" t="n">
        <f aca="false">EXP(-H43/$B$9)/$B$9</f>
        <v>0.0634912727561359</v>
      </c>
    </row>
    <row r="44" customFormat="false" ht="15" hidden="false" customHeight="false" outlineLevel="0" collapsed="false">
      <c r="H44" s="27" t="n">
        <f aca="false">3*24/40</f>
        <v>1.8</v>
      </c>
      <c r="I44" s="17" t="n">
        <f aca="false">$B$6+$B$7*H44+$B$8*H44^2</f>
        <v>1.48</v>
      </c>
      <c r="J44" s="17" t="n">
        <f aca="false">EXP(-H44/$B$9)/$B$9</f>
        <v>0.0546474448945851</v>
      </c>
    </row>
    <row r="45" customFormat="false" ht="15" hidden="false" customHeight="false" outlineLevel="0" collapsed="false">
      <c r="H45" s="27" t="n">
        <f aca="false">3*25/40</f>
        <v>1.875</v>
      </c>
      <c r="I45" s="17" t="n">
        <f aca="false">$B$6+$B$7*H45+$B$8*H45^2</f>
        <v>1.525</v>
      </c>
      <c r="J45" s="17" t="n">
        <f aca="false">EXP(-H45/$B$9)/$B$9</f>
        <v>0.0470354917120182</v>
      </c>
    </row>
    <row r="46" customFormat="false" ht="15" hidden="false" customHeight="false" outlineLevel="0" collapsed="false">
      <c r="H46" s="27" t="n">
        <f aca="false">3*26/40</f>
        <v>1.95</v>
      </c>
      <c r="I46" s="17" t="n">
        <f aca="false">$B$6+$B$7*H46+$B$8*H46^2</f>
        <v>1.57</v>
      </c>
      <c r="J46" s="17" t="n">
        <f aca="false">EXP(-H46/$B$9)/$B$9</f>
        <v>0.0404838228916088</v>
      </c>
    </row>
    <row r="47" customFormat="false" ht="15" hidden="false" customHeight="false" outlineLevel="0" collapsed="false">
      <c r="H47" s="27" t="n">
        <f aca="false">3*27/40</f>
        <v>2.025</v>
      </c>
      <c r="I47" s="17" t="n">
        <f aca="false">$B$6+$B$7*H47+$B$8*H47^2</f>
        <v>1.615</v>
      </c>
      <c r="J47" s="17" t="n">
        <f aca="false">EXP(-H47/$B$9)/$B$9</f>
        <v>0.034844749278987</v>
      </c>
    </row>
    <row r="48" customFormat="false" ht="15" hidden="false" customHeight="false" outlineLevel="0" collapsed="false">
      <c r="H48" s="27" t="n">
        <f aca="false">3*28/40</f>
        <v>2.1</v>
      </c>
      <c r="I48" s="17" t="n">
        <f aca="false">$B$6+$B$7*H48+$B$8*H48^2</f>
        <v>1.66</v>
      </c>
      <c r="J48" s="17" t="n">
        <f aca="false">EXP(-H48/$B$9)/$B$9</f>
        <v>0.0299911536409554</v>
      </c>
    </row>
    <row r="49" customFormat="false" ht="15" hidden="false" customHeight="false" outlineLevel="0" collapsed="false">
      <c r="H49" s="27" t="n">
        <f aca="false">3*29/40</f>
        <v>2.175</v>
      </c>
      <c r="I49" s="17" t="n">
        <f aca="false">$B$6+$B$7*H49+$B$8*H49^2</f>
        <v>1.705</v>
      </c>
      <c r="J49" s="17" t="n">
        <f aca="false">EXP(-H49/$B$9)/$B$9</f>
        <v>0.0258136251609597</v>
      </c>
    </row>
    <row r="50" customFormat="false" ht="15" hidden="false" customHeight="false" outlineLevel="0" collapsed="false">
      <c r="H50" s="27" t="n">
        <f aca="false">3*30/40</f>
        <v>2.25</v>
      </c>
      <c r="I50" s="17" t="n">
        <f aca="false">$B$6+$B$7*H50+$B$8*H50^2</f>
        <v>1.75</v>
      </c>
      <c r="J50" s="17" t="n">
        <f aca="false">EXP(-H50/$B$9)/$B$9</f>
        <v>0.0222179930764846</v>
      </c>
    </row>
    <row r="51" customFormat="false" ht="15" hidden="false" customHeight="false" outlineLevel="0" collapsed="false">
      <c r="H51" s="27" t="n">
        <f aca="false">3*31/40</f>
        <v>2.325</v>
      </c>
      <c r="I51" s="17" t="n">
        <f aca="false">$B$6+$B$7*H51+$B$8*H51^2</f>
        <v>1.795</v>
      </c>
      <c r="J51" s="17" t="n">
        <f aca="false">EXP(-H51/$B$9)/$B$9</f>
        <v>0.019123203861087</v>
      </c>
    </row>
    <row r="52" customFormat="false" ht="15" hidden="false" customHeight="false" outlineLevel="0" collapsed="false">
      <c r="H52" s="27" t="n">
        <f aca="false">3*32/40</f>
        <v>2.4</v>
      </c>
      <c r="I52" s="17" t="n">
        <f aca="false">$B$6+$B$7*H52+$B$8*H52^2</f>
        <v>1.84</v>
      </c>
      <c r="J52" s="17" t="n">
        <f aca="false">EXP(-H52/$B$9)/$B$9</f>
        <v>0.0164594940980401</v>
      </c>
    </row>
    <row r="53" customFormat="false" ht="15" hidden="false" customHeight="false" outlineLevel="0" collapsed="false">
      <c r="H53" s="27" t="n">
        <f aca="false">3*33/40</f>
        <v>2.475</v>
      </c>
      <c r="I53" s="17" t="n">
        <f aca="false">$B$6+$B$7*H53+$B$8*H53^2</f>
        <v>1.885</v>
      </c>
      <c r="J53" s="17" t="n">
        <f aca="false">EXP(-H53/$B$9)/$B$9</f>
        <v>0.0141668178581042</v>
      </c>
    </row>
    <row r="54" customFormat="false" ht="15" hidden="false" customHeight="false" outlineLevel="0" collapsed="false">
      <c r="H54" s="27" t="n">
        <f aca="false">3*34/40</f>
        <v>2.55</v>
      </c>
      <c r="I54" s="17" t="n">
        <f aca="false">$B$6+$B$7*H54+$B$8*H54^2</f>
        <v>1.93</v>
      </c>
      <c r="J54" s="17" t="n">
        <f aca="false">EXP(-H54/$B$9)/$B$9</f>
        <v>0.0121934931310313</v>
      </c>
    </row>
    <row r="55" customFormat="false" ht="15" hidden="false" customHeight="false" outlineLevel="0" collapsed="false">
      <c r="H55" s="27" t="n">
        <f aca="false">3*35/40</f>
        <v>2.625</v>
      </c>
      <c r="I55" s="17" t="n">
        <f aca="false">$B$6+$B$7*H55+$B$8*H55^2</f>
        <v>1.975</v>
      </c>
      <c r="J55" s="17" t="n">
        <f aca="false">EXP(-H55/$B$9)/$B$9</f>
        <v>0.0104950367983628</v>
      </c>
    </row>
    <row r="56" customFormat="false" ht="15" hidden="false" customHeight="false" outlineLevel="0" collapsed="false">
      <c r="H56" s="27" t="n">
        <f aca="false">3*36/40</f>
        <v>2.7</v>
      </c>
      <c r="I56" s="17" t="n">
        <f aca="false">$B$6+$B$7*H56+$B$8*H56^2</f>
        <v>2.02</v>
      </c>
      <c r="J56" s="17" t="n">
        <f aca="false">EXP(-H56/$B$9)/$B$9</f>
        <v>0.00903316188522533</v>
      </c>
    </row>
    <row r="57" customFormat="false" ht="15" hidden="false" customHeight="false" outlineLevel="0" collapsed="false">
      <c r="H57" s="27" t="n">
        <f aca="false">3*37/40</f>
        <v>2.775</v>
      </c>
      <c r="I57" s="17" t="n">
        <f aca="false">$B$6+$B$7*H57+$B$8*H57^2</f>
        <v>2.065</v>
      </c>
      <c r="J57" s="17" t="n">
        <f aca="false">EXP(-H57/$B$9)/$B$9</f>
        <v>0.00777491448695226</v>
      </c>
    </row>
    <row r="58" customFormat="false" ht="15" hidden="false" customHeight="false" outlineLevel="0" collapsed="false">
      <c r="H58" s="27" t="n">
        <f aca="false">3*38/40</f>
        <v>2.85</v>
      </c>
      <c r="I58" s="17" t="n">
        <f aca="false">$B$6+$B$7*H58+$B$8*H58^2</f>
        <v>2.11</v>
      </c>
      <c r="J58" s="17" t="n">
        <f aca="false">EXP(-H58/$B$9)/$B$9</f>
        <v>0.00669193091494254</v>
      </c>
    </row>
    <row r="59" customFormat="false" ht="15" hidden="false" customHeight="false" outlineLevel="0" collapsed="false">
      <c r="H59" s="27" t="n">
        <f aca="false">3*39/40</f>
        <v>2.925</v>
      </c>
      <c r="I59" s="17" t="n">
        <f aca="false">$B$6+$B$7*H59+$B$8*H59^2</f>
        <v>2.155</v>
      </c>
      <c r="J59" s="17" t="n">
        <f aca="false">EXP(-H59/$B$9)/$B$9</f>
        <v>0.00575979831617649</v>
      </c>
    </row>
    <row r="60" customFormat="false" ht="15" hidden="false" customHeight="false" outlineLevel="0" collapsed="false">
      <c r="H60" s="27" t="n">
        <f aca="false">3*40/40</f>
        <v>3</v>
      </c>
      <c r="I60" s="17" t="n">
        <f aca="false">$B$6+$B$7*H60+$B$8*H60^2</f>
        <v>2.2</v>
      </c>
      <c r="J60" s="17" t="n">
        <f aca="false">EXP(-H60/$B$9)/$B$9</f>
        <v>0.00495750435333272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</cols>
  <sheetData>
    <row r="1" customFormat="false" ht="17.35" hidden="false" customHeight="false" outlineLevel="0" collapsed="false">
      <c r="A1" s="8" t="s">
        <v>190</v>
      </c>
    </row>
    <row r="2" customFormat="false" ht="15" hidden="false" customHeight="false" outlineLevel="0" collapsed="false">
      <c r="A2" s="2" t="s">
        <v>191</v>
      </c>
    </row>
    <row r="3" customFormat="false" ht="15" hidden="false" customHeight="false" outlineLevel="0" collapsed="false">
      <c r="A3" s="9" t="s">
        <v>192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108</v>
      </c>
      <c r="B6" s="11" t="n">
        <v>0.01</v>
      </c>
      <c r="C6" s="7"/>
    </row>
    <row r="8" customFormat="false" ht="15" hidden="false" customHeight="false" outlineLevel="0" collapsed="false">
      <c r="A8" s="10" t="s">
        <v>47</v>
      </c>
    </row>
    <row r="9" customFormat="false" ht="15" hidden="false" customHeight="false" outlineLevel="0" collapsed="false">
      <c r="A9" s="2" t="s">
        <v>193</v>
      </c>
      <c r="B9" s="13" t="n">
        <f aca="false">SQRT($B$6)</f>
        <v>0.1</v>
      </c>
      <c r="C9" s="7"/>
    </row>
    <row r="10" customFormat="false" ht="15" hidden="false" customHeight="false" outlineLevel="0" collapsed="false">
      <c r="A10" s="2" t="s">
        <v>194</v>
      </c>
      <c r="B10" s="13" t="n">
        <f aca="false">$B$6+(1-$B$6)*(1-1/(1+2*SQRT($B$6/3)))</f>
        <v>0.112481776992783</v>
      </c>
      <c r="C10" s="7"/>
    </row>
    <row r="11" customFormat="false" ht="15" hidden="false" customHeight="false" outlineLevel="0" collapsed="false">
      <c r="A11" s="2" t="s">
        <v>195</v>
      </c>
      <c r="B11" s="30" t="n">
        <f aca="false">B10/B9-1</f>
        <v>0.124817769927831</v>
      </c>
      <c r="C11" s="7"/>
    </row>
    <row r="12" customFormat="false" ht="15" hidden="false" customHeight="false" outlineLevel="0" collapsed="false">
      <c r="A12" s="2" t="s">
        <v>121</v>
      </c>
      <c r="B12" s="21" t="n">
        <f aca="false">1/SQRT($B$6)</f>
        <v>10</v>
      </c>
      <c r="C12" s="7"/>
    </row>
    <row r="13" customFormat="false" ht="15" hidden="false" customHeight="false" outlineLevel="0" collapsed="false">
      <c r="A13" s="2" t="s">
        <v>196</v>
      </c>
      <c r="B13" s="21" t="n">
        <f aca="false">1/SQRT(3*$B$6)</f>
        <v>5.77350269189626</v>
      </c>
      <c r="C13" s="7"/>
    </row>
    <row r="16" customFormat="false" ht="23.85" hidden="false" customHeight="false" outlineLevel="0" collapsed="false">
      <c r="A16" s="7" t="s">
        <v>197</v>
      </c>
      <c r="E16" s="15" t="s">
        <v>150</v>
      </c>
      <c r="F16" s="15" t="s">
        <v>198</v>
      </c>
      <c r="G16" s="15" t="s">
        <v>199</v>
      </c>
    </row>
    <row r="17" customFormat="false" ht="15" hidden="false" customHeight="false" outlineLevel="0" collapsed="false">
      <c r="E17" s="23" t="n">
        <v>0.001</v>
      </c>
      <c r="F17" s="17" t="n">
        <f aca="false">$B$6+(1-$B$6)*(1-EXP(-SQRT(3*$B$6)*E17)/(1+2*SQRT($B$6/3)))</f>
        <v>0.112635486346267</v>
      </c>
      <c r="G17" s="17" t="n">
        <f aca="false">1-EXP(-SQRT(3*$B$6)*E17)/(1+2*SQRT($B$6/3))</f>
        <v>0.103672208430573</v>
      </c>
    </row>
    <row r="18" customFormat="false" ht="15" hidden="false" customHeight="false" outlineLevel="0" collapsed="false">
      <c r="E18" s="23" t="n">
        <v>0.00133352143216332</v>
      </c>
      <c r="F18" s="17" t="n">
        <f aca="false">$B$6+(1-$B$6)*(1-EXP(-SQRT(3*$B$6)*E18)/(1+2*SQRT($B$6/3)))</f>
        <v>0.112686745789814</v>
      </c>
      <c r="G18" s="17" t="n">
        <f aca="false">1-EXP(-SQRT(3*$B$6)*E18)/(1+2*SQRT($B$6/3))</f>
        <v>0.103723985646277</v>
      </c>
    </row>
    <row r="19" customFormat="false" ht="15" hidden="false" customHeight="false" outlineLevel="0" collapsed="false">
      <c r="A19" s="10" t="s">
        <v>200</v>
      </c>
      <c r="E19" s="23" t="n">
        <v>0.00177827941003892</v>
      </c>
      <c r="F19" s="17" t="n">
        <f aca="false">$B$6+(1-$B$6)*(1-EXP(-SQRT(3*$B$6)*E19)/(1+2*SQRT($B$6/3)))</f>
        <v>0.112755096749315</v>
      </c>
      <c r="G19" s="17" t="n">
        <f aca="false">1-EXP(-SQRT(3*$B$6)*E19)/(1+2*SQRT($B$6/3))</f>
        <v>0.10379302701951</v>
      </c>
    </row>
    <row r="20" customFormat="false" ht="15" hidden="false" customHeight="false" outlineLevel="0" collapsed="false">
      <c r="A20" s="7" t="s">
        <v>201</v>
      </c>
      <c r="E20" s="23" t="n">
        <v>0.00237137370566166</v>
      </c>
      <c r="F20" s="17" t="n">
        <f aca="false">$B$6+(1-$B$6)*(1-EXP(-SQRT(3*$B$6)*E20)/(1+2*SQRT($B$6/3)))</f>
        <v>0.112846236026711</v>
      </c>
      <c r="G20" s="17" t="n">
        <f aca="false">1-EXP(-SQRT(3*$B$6)*E20)/(1+2*SQRT($B$6/3))</f>
        <v>0.103885086895667</v>
      </c>
    </row>
    <row r="21" customFormat="false" ht="15" hidden="false" customHeight="false" outlineLevel="0" collapsed="false">
      <c r="A21" s="2" t="s">
        <v>202</v>
      </c>
      <c r="B21" s="11" t="n">
        <v>0.5</v>
      </c>
      <c r="C21" s="7"/>
      <c r="E21" s="23" t="n">
        <v>0.00316227766016838</v>
      </c>
      <c r="F21" s="17" t="n">
        <f aca="false">$B$6+(1-$B$6)*(1-EXP(-SQRT(3*$B$6)*E21)/(1+2*SQRT($B$6/3)))</f>
        <v>0.11296775764029</v>
      </c>
      <c r="G21" s="17" t="n">
        <f aca="false">1-EXP(-SQRT(3*$B$6)*E21)/(1+2*SQRT($B$6/3))</f>
        <v>0.104007836000293</v>
      </c>
    </row>
    <row r="22" customFormat="false" ht="15" hidden="false" customHeight="false" outlineLevel="0" collapsed="false">
      <c r="A22" s="2" t="s">
        <v>203</v>
      </c>
      <c r="B22" s="11" t="n">
        <v>0.3</v>
      </c>
      <c r="C22" s="7"/>
      <c r="E22" s="23" t="n">
        <v>0.00421696503428582</v>
      </c>
      <c r="F22" s="17" t="n">
        <f aca="false">$B$6+(1-$B$6)*(1-EXP(-SQRT(3*$B$6)*E22)/(1+2*SQRT($B$6/3)))</f>
        <v>0.113129783417448</v>
      </c>
      <c r="G22" s="17" t="n">
        <f aca="false">1-EXP(-SQRT(3*$B$6)*E22)/(1+2*SQRT($B$6/3))</f>
        <v>0.104171498401463</v>
      </c>
    </row>
    <row r="23" customFormat="false" ht="15" hidden="false" customHeight="false" outlineLevel="0" collapsed="false">
      <c r="A23" s="2" t="s">
        <v>204</v>
      </c>
      <c r="B23" s="11" t="n">
        <v>0.2</v>
      </c>
      <c r="C23" s="7"/>
      <c r="E23" s="23" t="n">
        <v>0.00562341325190349</v>
      </c>
      <c r="F23" s="17" t="n">
        <f aca="false">$B$6+(1-$B$6)*(1-EXP(-SQRT(3*$B$6)*E23)/(1+2*SQRT($B$6/3)))</f>
        <v>0.113345802216803</v>
      </c>
      <c r="G23" s="17" t="n">
        <f aca="false">1-EXP(-SQRT(3*$B$6)*E23)/(1+2*SQRT($B$6/3))</f>
        <v>0.104389699208892</v>
      </c>
    </row>
    <row r="24" customFormat="false" ht="15" hidden="false" customHeight="false" outlineLevel="0" collapsed="false">
      <c r="A24" s="2" t="s">
        <v>205</v>
      </c>
      <c r="B24" s="11" t="n">
        <v>1</v>
      </c>
      <c r="C24" s="7" t="s">
        <v>206</v>
      </c>
      <c r="E24" s="23" t="n">
        <v>0.00749894209332456</v>
      </c>
      <c r="F24" s="17" t="n">
        <f aca="false">$B$6+(1-$B$6)*(1-EXP(-SQRT(3*$B$6)*E24)/(1+2*SQRT($B$6/3)))</f>
        <v>0.113633786051474</v>
      </c>
      <c r="G24" s="17" t="n">
        <f aca="false">1-EXP(-SQRT(3*$B$6)*E24)/(1+2*SQRT($B$6/3))</f>
        <v>0.104680591971186</v>
      </c>
    </row>
    <row r="25" customFormat="false" ht="15" hidden="false" customHeight="false" outlineLevel="0" collapsed="false">
      <c r="A25" s="2" t="s">
        <v>207</v>
      </c>
      <c r="B25" s="11" t="n">
        <v>10</v>
      </c>
      <c r="C25" s="7" t="s">
        <v>206</v>
      </c>
      <c r="E25" s="23" t="n">
        <v>0.01</v>
      </c>
      <c r="F25" s="17" t="n">
        <f aca="false">$B$6+(1-$B$6)*(1-EXP(-SQRT(3*$B$6)*E25)/(1+2*SQRT($B$6/3)))</f>
        <v>0.114017673138621</v>
      </c>
      <c r="G25" s="17" t="n">
        <f aca="false">1-EXP(-SQRT(3*$B$6)*E25)/(1+2*SQRT($B$6/3))</f>
        <v>0.105068356705678</v>
      </c>
    </row>
    <row r="26" customFormat="false" ht="15" hidden="false" customHeight="false" outlineLevel="0" collapsed="false">
      <c r="A26" s="2" t="s">
        <v>208</v>
      </c>
      <c r="B26" s="11" t="n">
        <v>1000</v>
      </c>
      <c r="C26" s="7" t="s">
        <v>206</v>
      </c>
      <c r="E26" s="23" t="n">
        <v>0.0133352143216332</v>
      </c>
      <c r="F26" s="17" t="n">
        <f aca="false">$B$6+(1-$B$6)*(1-EXP(-SQRT(3*$B$6)*E26)/(1+2*SQRT($B$6/3)))</f>
        <v>0.114529336121718</v>
      </c>
      <c r="G26" s="17" t="n">
        <f aca="false">1-EXP(-SQRT(3*$B$6)*E26)/(1+2*SQRT($B$6/3))</f>
        <v>0.105585188001736</v>
      </c>
    </row>
    <row r="27" customFormat="false" ht="15" hidden="false" customHeight="false" outlineLevel="0" collapsed="false">
      <c r="A27" s="2" t="s">
        <v>209</v>
      </c>
      <c r="B27" s="12" t="n">
        <f aca="false">($B$21+$B$22+$B$23)/($B$21/$B$24+$B$22/$B$25+$B$23/$B$26)</f>
        <v>1.886080724255</v>
      </c>
      <c r="C27" s="7" t="s">
        <v>206</v>
      </c>
      <c r="E27" s="23" t="n">
        <v>0.0177827941003892</v>
      </c>
      <c r="F27" s="17" t="n">
        <f aca="false">$B$6+(1-$B$6)*(1-EXP(-SQRT(3*$B$6)*E27)/(1+2*SQRT($B$6/3)))</f>
        <v>0.11521118995207</v>
      </c>
      <c r="G27" s="17" t="n">
        <f aca="false">1-EXP(-SQRT(3*$B$6)*E27)/(1+2*SQRT($B$6/3))</f>
        <v>0.106273929244515</v>
      </c>
    </row>
    <row r="28" customFormat="false" ht="15" hidden="false" customHeight="false" outlineLevel="0" collapsed="false">
      <c r="A28" s="2" t="s">
        <v>210</v>
      </c>
      <c r="B28" s="12" t="n">
        <f aca="false">($B$21*$B$24+$B$22*$B$25+$B$23*$B$26)/($B$21+$B$22+$B$23)</f>
        <v>203.5</v>
      </c>
      <c r="C28" s="7" t="s">
        <v>206</v>
      </c>
      <c r="E28" s="23" t="n">
        <v>0.0237137370566166</v>
      </c>
      <c r="F28" s="17" t="n">
        <f aca="false">$B$6+(1-$B$6)*(1-EXP(-SQRT(3*$B$6)*E28)/(1+2*SQRT($B$6/3)))</f>
        <v>0.116119639778338</v>
      </c>
      <c r="G28" s="17" t="n">
        <f aca="false">1-EXP(-SQRT(3*$B$6)*E28)/(1+2*SQRT($B$6/3))</f>
        <v>0.107191555331655</v>
      </c>
    </row>
    <row r="29" customFormat="false" ht="15" hidden="false" customHeight="false" outlineLevel="0" collapsed="false">
      <c r="E29" s="23" t="n">
        <v>0.0316227766016838</v>
      </c>
      <c r="F29" s="17" t="n">
        <f aca="false">$B$6+(1-$B$6)*(1-EXP(-SQRT(3*$B$6)*E29)/(1+2*SQRT($B$6/3)))</f>
        <v>0.11732962600126</v>
      </c>
      <c r="G29" s="17" t="n">
        <f aca="false">1-EXP(-SQRT(3*$B$6)*E29)/(1+2*SQRT($B$6/3))</f>
        <v>0.108413763637636</v>
      </c>
    </row>
    <row r="30" customFormat="false" ht="15" hidden="false" customHeight="false" outlineLevel="0" collapsed="false">
      <c r="E30" s="23" t="n">
        <v>0.0421696503428582</v>
      </c>
      <c r="F30" s="17" t="n">
        <f aca="false">$B$6+(1-$B$6)*(1-EXP(-SQRT(3*$B$6)*E30)/(1+2*SQRT($B$6/3)))</f>
        <v>0.118940591748279</v>
      </c>
      <c r="G30" s="17" t="n">
        <f aca="false">1-EXP(-SQRT(3*$B$6)*E30)/(1+2*SQRT($B$6/3))</f>
        <v>0.110041001765938</v>
      </c>
    </row>
    <row r="31" customFormat="false" ht="15" hidden="false" customHeight="false" outlineLevel="0" collapsed="false">
      <c r="E31" s="23" t="n">
        <v>0.0562341325190349</v>
      </c>
      <c r="F31" s="17" t="n">
        <f aca="false">$B$6+(1-$B$6)*(1-EXP(-SQRT(3*$B$6)*E31)/(1+2*SQRT($B$6/3)))</f>
        <v>0.12108427539809</v>
      </c>
      <c r="G31" s="17" t="n">
        <f aca="false">1-EXP(-SQRT(3*$B$6)*E31)/(1+2*SQRT($B$6/3))</f>
        <v>0.112206338785949</v>
      </c>
    </row>
    <row r="32" customFormat="false" ht="15" hidden="false" customHeight="false" outlineLevel="0" collapsed="false">
      <c r="E32" s="23" t="n">
        <v>0.0749894209332456</v>
      </c>
      <c r="F32" s="17" t="n">
        <f aca="false">$B$6+(1-$B$6)*(1-EXP(-SQRT(3*$B$6)*E32)/(1+2*SQRT($B$6/3)))</f>
        <v>0.123934810507896</v>
      </c>
      <c r="G32" s="17" t="n">
        <f aca="false">1-EXP(-SQRT(3*$B$6)*E32)/(1+2*SQRT($B$6/3))</f>
        <v>0.115085667179693</v>
      </c>
    </row>
    <row r="33" customFormat="false" ht="15" hidden="false" customHeight="false" outlineLevel="0" collapsed="false">
      <c r="E33" s="23" t="n">
        <v>0.1</v>
      </c>
      <c r="F33" s="17" t="n">
        <f aca="false">$B$6+(1-$B$6)*(1-EXP(-SQRT(3*$B$6)*E33)/(1+2*SQRT($B$6/3)))</f>
        <v>0.12772168110488</v>
      </c>
      <c r="G33" s="17" t="n">
        <f aca="false">1-EXP(-SQRT(3*$B$6)*E33)/(1+2*SQRT($B$6/3))</f>
        <v>0.118910788994828</v>
      </c>
    </row>
    <row r="34" customFormat="false" ht="15" hidden="false" customHeight="false" outlineLevel="0" collapsed="false">
      <c r="E34" s="23" t="n">
        <v>0.133352143216332</v>
      </c>
      <c r="F34" s="17" t="n">
        <f aca="false">$B$6+(1-$B$6)*(1-EXP(-SQRT(3*$B$6)*E34)/(1+2*SQRT($B$6/3)))</f>
        <v>0.132746097782585</v>
      </c>
      <c r="G34" s="17" t="n">
        <f aca="false">1-EXP(-SQRT(3*$B$6)*E34)/(1+2*SQRT($B$6/3))</f>
        <v>0.123985957356147</v>
      </c>
    </row>
    <row r="35" customFormat="false" ht="15" hidden="false" customHeight="false" outlineLevel="0" collapsed="false">
      <c r="E35" s="23" t="n">
        <v>0.177827941003892</v>
      </c>
      <c r="F35" s="17" t="n">
        <f aca="false">$B$6+(1-$B$6)*(1-EXP(-SQRT(3*$B$6)*E35)/(1+2*SQRT($B$6/3)))</f>
        <v>0.139401264377323</v>
      </c>
      <c r="G35" s="17" t="n">
        <f aca="false">1-EXP(-SQRT(3*$B$6)*E35)/(1+2*SQRT($B$6/3))</f>
        <v>0.130708347855882</v>
      </c>
    </row>
    <row r="36" customFormat="false" ht="15" hidden="false" customHeight="false" outlineLevel="0" collapsed="false">
      <c r="E36" s="23" t="n">
        <v>0.237137370566166</v>
      </c>
      <c r="F36" s="17" t="n">
        <f aca="false">$B$6+(1-$B$6)*(1-EXP(-SQRT(3*$B$6)*E36)/(1+2*SQRT($B$6/3)))</f>
        <v>0.148196678658245</v>
      </c>
      <c r="G36" s="17" t="n">
        <f aca="false">1-EXP(-SQRT(3*$B$6)*E36)/(1+2*SQRT($B$6/3))</f>
        <v>0.139592604705298</v>
      </c>
    </row>
    <row r="37" customFormat="false" ht="15" hidden="false" customHeight="false" outlineLevel="0" collapsed="false">
      <c r="E37" s="23" t="n">
        <v>0.316227766016838</v>
      </c>
      <c r="F37" s="17" t="n">
        <f aca="false">$B$6+(1-$B$6)*(1-EXP(-SQRT(3*$B$6)*E37)/(1+2*SQRT($B$6/3)))</f>
        <v>0.159785851233111</v>
      </c>
      <c r="G37" s="17" t="n">
        <f aca="false">1-EXP(-SQRT(3*$B$6)*E37)/(1+2*SQRT($B$6/3))</f>
        <v>0.151298839629405</v>
      </c>
    </row>
    <row r="38" customFormat="false" ht="15" hidden="false" customHeight="false" outlineLevel="0" collapsed="false">
      <c r="E38" s="23" t="n">
        <v>0.421696503428582</v>
      </c>
      <c r="F38" s="17" t="n">
        <f aca="false">$B$6+(1-$B$6)*(1-EXP(-SQRT(3*$B$6)*E38)/(1+2*SQRT($B$6/3)))</f>
        <v>0.174995305044693</v>
      </c>
      <c r="G38" s="17" t="n">
        <f aca="false">1-EXP(-SQRT(3*$B$6)*E38)/(1+2*SQRT($B$6/3))</f>
        <v>0.166661924287569</v>
      </c>
    </row>
    <row r="39" customFormat="false" ht="15" hidden="false" customHeight="false" outlineLevel="0" collapsed="false">
      <c r="E39" s="23" t="n">
        <v>0.562341325190349</v>
      </c>
      <c r="F39" s="17" t="n">
        <f aca="false">$B$6+(1-$B$6)*(1-EXP(-SQRT(3*$B$6)*E39)/(1+2*SQRT($B$6/3)))</f>
        <v>0.194849932368914</v>
      </c>
      <c r="G39" s="17" t="n">
        <f aca="false">1-EXP(-SQRT(3*$B$6)*E39)/(1+2*SQRT($B$6/3))</f>
        <v>0.186717103402943</v>
      </c>
    </row>
    <row r="40" customFormat="false" ht="15" hidden="false" customHeight="false" outlineLevel="0" collapsed="false">
      <c r="E40" s="23" t="n">
        <v>0.749894209332456</v>
      </c>
      <c r="F40" s="17" t="n">
        <f aca="false">$B$6+(1-$B$6)*(1-EXP(-SQRT(3*$B$6)*E40)/(1+2*SQRT($B$6/3)))</f>
        <v>0.220585055552672</v>
      </c>
      <c r="G40" s="17" t="n">
        <f aca="false">1-EXP(-SQRT(3*$B$6)*E40)/(1+2*SQRT($B$6/3))</f>
        <v>0.212712177325931</v>
      </c>
    </row>
    <row r="41" customFormat="false" ht="15" hidden="false" customHeight="false" outlineLevel="0" collapsed="false">
      <c r="E41" s="23" t="n">
        <v>1</v>
      </c>
      <c r="F41" s="17" t="n">
        <f aca="false">$B$6+(1-$B$6)*(1-EXP(-SQRT(3*$B$6)*E41)/(1+2*SQRT($B$6/3)))</f>
        <v>0.253628120975012</v>
      </c>
      <c r="G41" s="17" t="n">
        <f aca="false">1-EXP(-SQRT(3*$B$6)*E41)/(1+2*SQRT($B$6/3))</f>
        <v>0.246089011085871</v>
      </c>
    </row>
    <row r="42" customFormat="false" ht="15" hidden="false" customHeight="false" outlineLevel="0" collapsed="false">
      <c r="E42" s="23" t="n">
        <v>1.33352143216332</v>
      </c>
      <c r="F42" s="17" t="n">
        <f aca="false">$B$6+(1-$B$6)*(1-EXP(-SQRT(3*$B$6)*E42)/(1+2*SQRT($B$6/3)))</f>
        <v>0.295522518688803</v>
      </c>
      <c r="G42" s="17" t="n">
        <f aca="false">1-EXP(-SQRT(3*$B$6)*E42)/(1+2*SQRT($B$6/3))</f>
        <v>0.288406584534144</v>
      </c>
    </row>
    <row r="43" customFormat="false" ht="15" hidden="false" customHeight="false" outlineLevel="0" collapsed="false">
      <c r="E43" s="23" t="n">
        <v>1.77827941003892</v>
      </c>
      <c r="F43" s="17" t="n">
        <f aca="false">$B$6+(1-$B$6)*(1-EXP(-SQRT(3*$B$6)*E43)/(1+2*SQRT($B$6/3)))</f>
        <v>0.347753847439397</v>
      </c>
      <c r="G43" s="17" t="n">
        <f aca="false">1-EXP(-SQRT(3*$B$6)*E43)/(1+2*SQRT($B$6/3))</f>
        <v>0.341165502464038</v>
      </c>
    </row>
    <row r="44" customFormat="false" ht="15" hidden="false" customHeight="false" outlineLevel="0" collapsed="false">
      <c r="E44" s="23" t="n">
        <v>2.37137370566166</v>
      </c>
      <c r="F44" s="17" t="n">
        <f aca="false">$B$6+(1-$B$6)*(1-EXP(-SQRT(3*$B$6)*E44)/(1+2*SQRT($B$6/3)))</f>
        <v>0.411430462727716</v>
      </c>
      <c r="G44" s="17" t="n">
        <f aca="false">1-EXP(-SQRT(3*$B$6)*E44)/(1+2*SQRT($B$6/3))</f>
        <v>0.405485315886581</v>
      </c>
    </row>
    <row r="45" customFormat="false" ht="15" hidden="false" customHeight="false" outlineLevel="0" collapsed="false">
      <c r="E45" s="23" t="n">
        <v>3.16227766016838</v>
      </c>
      <c r="F45" s="17" t="n">
        <f aca="false">$B$6+(1-$B$6)*(1-EXP(-SQRT(3*$B$6)*E45)/(1+2*SQRT($B$6/3)))</f>
        <v>0.486779028239582</v>
      </c>
      <c r="G45" s="17" t="n">
        <f aca="false">1-EXP(-SQRT(3*$B$6)*E45)/(1+2*SQRT($B$6/3))</f>
        <v>0.48159497801978</v>
      </c>
    </row>
    <row r="46" customFormat="false" ht="15" hidden="false" customHeight="false" outlineLevel="0" collapsed="false">
      <c r="E46" s="23" t="n">
        <v>4.21696503428582</v>
      </c>
      <c r="F46" s="17" t="n">
        <f aca="false">$B$6+(1-$B$6)*(1-EXP(-SQRT(3*$B$6)*E46)/(1+2*SQRT($B$6/3)))</f>
        <v>0.572467937830163</v>
      </c>
      <c r="G46" s="17" t="n">
        <f aca="false">1-EXP(-SQRT(3*$B$6)*E46)/(1+2*SQRT($B$6/3))</f>
        <v>0.56814943215168</v>
      </c>
    </row>
    <row r="47" customFormat="false" ht="15" hidden="false" customHeight="false" outlineLevel="0" collapsed="false">
      <c r="E47" s="23" t="n">
        <v>5.62341325190349</v>
      </c>
      <c r="F47" s="17" t="n">
        <f aca="false">$B$6+(1-$B$6)*(1-EXP(-SQRT(3*$B$6)*E47)/(1+2*SQRT($B$6/3)))</f>
        <v>0.664901235532839</v>
      </c>
      <c r="G47" s="17" t="n">
        <f aca="false">1-EXP(-SQRT(3*$B$6)*E47)/(1+2*SQRT($B$6/3))</f>
        <v>0.66151639952812</v>
      </c>
    </row>
    <row r="48" customFormat="false" ht="15" hidden="false" customHeight="false" outlineLevel="0" collapsed="false">
      <c r="E48" s="23" t="n">
        <v>7.49894209332456</v>
      </c>
      <c r="F48" s="17" t="n">
        <f aca="false">$B$6+(1-$B$6)*(1-EXP(-SQRT(3*$B$6)*E48)/(1+2*SQRT($B$6/3)))</f>
        <v>0.757845928361253</v>
      </c>
      <c r="G48" s="17" t="n">
        <f aca="false">1-EXP(-SQRT(3*$B$6)*E48)/(1+2*SQRT($B$6/3))</f>
        <v>0.755399927637629</v>
      </c>
    </row>
    <row r="49" customFormat="false" ht="15" hidden="false" customHeight="false" outlineLevel="0" collapsed="false">
      <c r="E49" s="23" t="n">
        <v>10</v>
      </c>
      <c r="F49" s="17" t="n">
        <f aca="false">$B$6+(1-$B$6)*(1-EXP(-SQRT(3*$B$6)*E49)/(1+2*SQRT($B$6/3)))</f>
        <v>0.842979205356565</v>
      </c>
      <c r="G49" s="17" t="n">
        <f aca="false">1-EXP(-SQRT(3*$B$6)*E49)/(1+2*SQRT($B$6/3))</f>
        <v>0.841393136723803</v>
      </c>
    </row>
    <row r="50" customFormat="false" ht="15" hidden="false" customHeight="false" outlineLevel="0" collapsed="false">
      <c r="E50" s="23" t="n">
        <v>13.3352143216332</v>
      </c>
      <c r="F50" s="17" t="n">
        <f aca="false">$B$6+(1-$B$6)*(1-EXP(-SQRT(3*$B$6)*E50)/(1+2*SQRT($B$6/3)))</f>
        <v>0.911879765716664</v>
      </c>
      <c r="G50" s="17" t="n">
        <f aca="false">1-EXP(-SQRT(3*$B$6)*E50)/(1+2*SQRT($B$6/3))</f>
        <v>0.910989662340065</v>
      </c>
    </row>
    <row r="51" customFormat="false" ht="15" hidden="false" customHeight="false" outlineLevel="0" collapsed="false">
      <c r="E51" s="23" t="n">
        <v>17.7827941003892</v>
      </c>
      <c r="F51" s="17" t="n">
        <f aca="false">$B$6+(1-$B$6)*(1-EXP(-SQRT(3*$B$6)*E51)/(1+2*SQRT($B$6/3)))</f>
        <v>0.959213189142055</v>
      </c>
      <c r="G51" s="17" t="n">
        <f aca="false">1-EXP(-SQRT(3*$B$6)*E51)/(1+2*SQRT($B$6/3))</f>
        <v>0.958801201153591</v>
      </c>
    </row>
    <row r="52" customFormat="false" ht="15" hidden="false" customHeight="false" outlineLevel="0" collapsed="false">
      <c r="E52" s="23" t="n">
        <v>23.7137370566166</v>
      </c>
      <c r="F52" s="17" t="n">
        <f aca="false">$B$6+(1-$B$6)*(1-EXP(-SQRT(3*$B$6)*E52)/(1+2*SQRT($B$6/3)))</f>
        <v>0.985399010328067</v>
      </c>
      <c r="G52" s="17" t="n">
        <f aca="false">1-EXP(-SQRT(3*$B$6)*E52)/(1+2*SQRT($B$6/3))</f>
        <v>0.985251525583906</v>
      </c>
    </row>
    <row r="53" customFormat="false" ht="15" hidden="false" customHeight="false" outlineLevel="0" collapsed="false">
      <c r="E53" s="23" t="n">
        <v>31.6227766016838</v>
      </c>
      <c r="F53" s="17" t="n">
        <f aca="false">$B$6+(1-$B$6)*(1-EXP(-SQRT(3*$B$6)*E53)/(1+2*SQRT($B$6/3)))</f>
        <v>0.996289363300343</v>
      </c>
      <c r="G53" s="17" t="n">
        <f aca="false">1-EXP(-SQRT(3*$B$6)*E53)/(1+2*SQRT($B$6/3))</f>
        <v>0.996251882121559</v>
      </c>
    </row>
    <row r="54" customFormat="false" ht="15" hidden="false" customHeight="false" outlineLevel="0" collapsed="false">
      <c r="E54" s="23" t="n">
        <v>42.1696503428582</v>
      </c>
      <c r="F54" s="17" t="n">
        <f aca="false">$B$6+(1-$B$6)*(1-EXP(-SQRT(3*$B$6)*E54)/(1+2*SQRT($B$6/3)))</f>
        <v>0.999402839070952</v>
      </c>
      <c r="G54" s="17" t="n">
        <f aca="false">1-EXP(-SQRT(3*$B$6)*E54)/(1+2*SQRT($B$6/3))</f>
        <v>0.999396807142375</v>
      </c>
    </row>
    <row r="55" customFormat="false" ht="15" hidden="false" customHeight="false" outlineLevel="0" collapsed="false">
      <c r="E55" s="23" t="n">
        <v>56.2341325190349</v>
      </c>
      <c r="F55" s="17" t="n">
        <f aca="false">$B$6+(1-$B$6)*(1-EXP(-SQRT(3*$B$6)*E55)/(1+2*SQRT($B$6/3)))</f>
        <v>0.999947744410101</v>
      </c>
      <c r="G55" s="17" t="n">
        <f aca="false">1-EXP(-SQRT(3*$B$6)*E55)/(1+2*SQRT($B$6/3))</f>
        <v>0.99994721657586</v>
      </c>
    </row>
    <row r="56" customFormat="false" ht="15" hidden="false" customHeight="false" outlineLevel="0" collapsed="false">
      <c r="E56" s="23" t="n">
        <v>74.9894209332456</v>
      </c>
      <c r="F56" s="17" t="n">
        <f aca="false">$B$6+(1-$B$6)*(1-EXP(-SQRT(3*$B$6)*E56)/(1+2*SQRT($B$6/3)))</f>
        <v>0.99999797081218</v>
      </c>
      <c r="G56" s="17" t="n">
        <f aca="false">1-EXP(-SQRT(3*$B$6)*E56)/(1+2*SQRT($B$6/3))</f>
        <v>0.999997950315333</v>
      </c>
    </row>
    <row r="57" customFormat="false" ht="15" hidden="false" customHeight="false" outlineLevel="0" collapsed="false">
      <c r="E57" s="23" t="n">
        <v>100</v>
      </c>
      <c r="F57" s="17" t="n">
        <f aca="false">$B$6+(1-$B$6)*(1-EXP(-SQRT(3*$B$6)*E57)/(1+2*SQRT($B$6/3)))</f>
        <v>0.999999973332875</v>
      </c>
      <c r="G57" s="17" t="n">
        <f aca="false">1-EXP(-SQRT(3*$B$6)*E57)/(1+2*SQRT($B$6/3))</f>
        <v>0.99999997306351</v>
      </c>
    </row>
    <row r="58" customFormat="false" ht="15" hidden="false" customHeight="false" outlineLevel="0" collapsed="false">
      <c r="E58" s="23" t="n">
        <v>133.352143216332</v>
      </c>
      <c r="F58" s="17" t="n">
        <f aca="false">$B$6+(1-$B$6)*(1-EXP(-SQRT(3*$B$6)*E58)/(1+2*SQRT($B$6/3)))</f>
        <v>0.999999999917366</v>
      </c>
      <c r="G58" s="17" t="n">
        <f aca="false">1-EXP(-SQRT(3*$B$6)*E58)/(1+2*SQRT($B$6/3))</f>
        <v>0.999999999916531</v>
      </c>
    </row>
    <row r="59" customFormat="false" ht="15" hidden="false" customHeight="false" outlineLevel="0" collapsed="false">
      <c r="E59" s="23" t="n">
        <v>177.827941003892</v>
      </c>
      <c r="F59" s="17" t="n">
        <f aca="false">$B$6+(1-$B$6)*(1-EXP(-SQRT(3*$B$6)*E59)/(1+2*SQRT($B$6/3)))</f>
        <v>0.999999999999963</v>
      </c>
      <c r="G59" s="17" t="n">
        <f aca="false">1-EXP(-SQRT(3*$B$6)*E59)/(1+2*SQRT($B$6/3))</f>
        <v>0.999999999999962</v>
      </c>
    </row>
    <row r="60" customFormat="false" ht="15" hidden="false" customHeight="false" outlineLevel="0" collapsed="false">
      <c r="E60" s="23" t="n">
        <v>237.137370566166</v>
      </c>
      <c r="F60" s="17" t="n">
        <f aca="false">$B$6+(1-$B$6)*(1-EXP(-SQRT(3*$B$6)*E60)/(1+2*SQRT($B$6/3)))</f>
        <v>1</v>
      </c>
      <c r="G60" s="17" t="n">
        <f aca="false">1-EXP(-SQRT(3*$B$6)*E60)/(1+2*SQRT($B$6/3))</f>
        <v>1</v>
      </c>
    </row>
    <row r="61" customFormat="false" ht="15" hidden="false" customHeight="false" outlineLevel="0" collapsed="false">
      <c r="E61" s="23" t="n">
        <v>316.227766016838</v>
      </c>
      <c r="F61" s="17" t="n">
        <f aca="false">$B$6+(1-$B$6)*(1-EXP(-SQRT(3*$B$6)*E61)/(1+2*SQRT($B$6/3)))</f>
        <v>1</v>
      </c>
      <c r="G61" s="17" t="n">
        <f aca="false">1-EXP(-SQRT(3*$B$6)*E61)/(1+2*SQRT($B$6/3))</f>
        <v>1</v>
      </c>
    </row>
    <row r="62" customFormat="false" ht="15" hidden="false" customHeight="false" outlineLevel="0" collapsed="false">
      <c r="E62" s="23" t="n">
        <v>421.696503428582</v>
      </c>
      <c r="F62" s="17" t="n">
        <f aca="false">$B$6+(1-$B$6)*(1-EXP(-SQRT(3*$B$6)*E62)/(1+2*SQRT($B$6/3)))</f>
        <v>1</v>
      </c>
      <c r="G62" s="17" t="n">
        <f aca="false">1-EXP(-SQRT(3*$B$6)*E62)/(1+2*SQRT($B$6/3))</f>
        <v>1</v>
      </c>
    </row>
    <row r="63" customFormat="false" ht="15" hidden="false" customHeight="false" outlineLevel="0" collapsed="false">
      <c r="E63" s="23" t="n">
        <v>562.341325190349</v>
      </c>
      <c r="F63" s="17" t="n">
        <f aca="false">$B$6+(1-$B$6)*(1-EXP(-SQRT(3*$B$6)*E63)/(1+2*SQRT($B$6/3)))</f>
        <v>1</v>
      </c>
      <c r="G63" s="17" t="n">
        <f aca="false">1-EXP(-SQRT(3*$B$6)*E63)/(1+2*SQRT($B$6/3))</f>
        <v>1</v>
      </c>
    </row>
    <row r="64" customFormat="false" ht="15" hidden="false" customHeight="false" outlineLevel="0" collapsed="false">
      <c r="E64" s="23" t="n">
        <v>749.894209332456</v>
      </c>
      <c r="F64" s="17" t="n">
        <f aca="false">$B$6+(1-$B$6)*(1-EXP(-SQRT(3*$B$6)*E64)/(1+2*SQRT($B$6/3)))</f>
        <v>1</v>
      </c>
      <c r="G64" s="17" t="n">
        <f aca="false">1-EXP(-SQRT(3*$B$6)*E64)/(1+2*SQRT($B$6/3))</f>
        <v>1</v>
      </c>
    </row>
    <row r="65" customFormat="false" ht="15" hidden="false" customHeight="false" outlineLevel="0" collapsed="false">
      <c r="E65" s="23" t="n">
        <v>1000</v>
      </c>
      <c r="F65" s="17" t="n">
        <f aca="false">$B$6+(1-$B$6)*(1-EXP(-SQRT(3*$B$6)*E65)/(1+2*SQRT($B$6/3)))</f>
        <v>1</v>
      </c>
      <c r="G65" s="17" t="n">
        <f aca="false">1-EXP(-SQRT(3*$B$6)*E65)/(1+2*SQRT($B$6/3))</f>
        <v>1</v>
      </c>
    </row>
    <row r="66" customFormat="false" ht="15" hidden="false" customHeight="false" outlineLevel="0" collapsed="false">
      <c r="E66" s="23" t="n">
        <v>1333.52143216332</v>
      </c>
      <c r="F66" s="17" t="n">
        <f aca="false">$B$6+(1-$B$6)*(1-EXP(-SQRT(3*$B$6)*E66)/(1+2*SQRT($B$6/3)))</f>
        <v>1</v>
      </c>
      <c r="G66" s="17" t="n">
        <f aca="false">1-EXP(-SQRT(3*$B$6)*E66)/(1+2*SQRT($B$6/3))</f>
        <v>1</v>
      </c>
    </row>
    <row r="67" customFormat="false" ht="15" hidden="false" customHeight="false" outlineLevel="0" collapsed="false">
      <c r="E67" s="23" t="n">
        <v>1778.27941003892</v>
      </c>
      <c r="F67" s="17" t="n">
        <f aca="false">$B$6+(1-$B$6)*(1-EXP(-SQRT(3*$B$6)*E67)/(1+2*SQRT($B$6/3)))</f>
        <v>1</v>
      </c>
      <c r="G67" s="17" t="n">
        <f aca="false">1-EXP(-SQRT(3*$B$6)*E67)/(1+2*SQRT($B$6/3))</f>
        <v>1</v>
      </c>
    </row>
    <row r="68" customFormat="false" ht="15" hidden="false" customHeight="false" outlineLevel="0" collapsed="false">
      <c r="E68" s="23" t="n">
        <v>2371.37370566166</v>
      </c>
      <c r="F68" s="17" t="n">
        <f aca="false">$B$6+(1-$B$6)*(1-EXP(-SQRT(3*$B$6)*E68)/(1+2*SQRT($B$6/3)))</f>
        <v>1</v>
      </c>
      <c r="G68" s="17" t="n">
        <f aca="false">1-EXP(-SQRT(3*$B$6)*E68)/(1+2*SQRT($B$6/3))</f>
        <v>1</v>
      </c>
    </row>
    <row r="69" customFormat="false" ht="15" hidden="false" customHeight="false" outlineLevel="0" collapsed="false">
      <c r="E69" s="23" t="n">
        <v>3162.27766016838</v>
      </c>
      <c r="F69" s="17" t="n">
        <f aca="false">$B$6+(1-$B$6)*(1-EXP(-SQRT(3*$B$6)*E69)/(1+2*SQRT($B$6/3)))</f>
        <v>1</v>
      </c>
      <c r="G69" s="17" t="n">
        <f aca="false">1-EXP(-SQRT(3*$B$6)*E69)/(1+2*SQRT($B$6/3))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12" min="5" style="0" width="14"/>
    <col collapsed="false" customWidth="true" hidden="false" outlineLevel="0" max="13" min="13" style="0" width="7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2"/>
    <col collapsed="false" customWidth="true" hidden="false" outlineLevel="0" max="22" min="20" style="0" width="14"/>
  </cols>
  <sheetData>
    <row r="1" customFormat="false" ht="17.35" hidden="false" customHeight="false" outlineLevel="0" collapsed="false">
      <c r="A1" s="8" t="s">
        <v>211</v>
      </c>
    </row>
    <row r="2" customFormat="false" ht="15" hidden="false" customHeight="false" outlineLevel="0" collapsed="false">
      <c r="A2" s="2" t="s">
        <v>212</v>
      </c>
    </row>
    <row r="3" customFormat="false" ht="15" hidden="false" customHeight="false" outlineLevel="0" collapsed="false">
      <c r="A3" s="9" t="s">
        <v>213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59</v>
      </c>
      <c r="B6" s="11" t="n">
        <v>5772</v>
      </c>
      <c r="C6" s="7" t="s">
        <v>60</v>
      </c>
    </row>
    <row r="7" customFormat="false" ht="15" hidden="false" customHeight="false" outlineLevel="0" collapsed="false">
      <c r="A7" s="2" t="s">
        <v>214</v>
      </c>
      <c r="B7" s="11" t="n">
        <v>500</v>
      </c>
      <c r="C7" s="7" t="s">
        <v>88</v>
      </c>
    </row>
    <row r="8" customFormat="false" ht="15" hidden="false" customHeight="false" outlineLevel="0" collapsed="false">
      <c r="A8" s="2" t="s">
        <v>215</v>
      </c>
      <c r="B8" s="11" t="n">
        <v>4.44</v>
      </c>
      <c r="C8" s="7"/>
    </row>
    <row r="9" customFormat="false" ht="15" hidden="false" customHeight="false" outlineLevel="0" collapsed="false">
      <c r="A9" s="2" t="s">
        <v>216</v>
      </c>
      <c r="B9" s="11" t="n">
        <v>0.03</v>
      </c>
      <c r="C9" s="7" t="s">
        <v>206</v>
      </c>
    </row>
    <row r="11" customFormat="false" ht="15" hidden="false" customHeight="false" outlineLevel="0" collapsed="false">
      <c r="A11" s="10" t="s">
        <v>47</v>
      </c>
    </row>
    <row r="12" customFormat="false" ht="15" hidden="false" customHeight="false" outlineLevel="0" collapsed="false">
      <c r="A12" s="2" t="s">
        <v>217</v>
      </c>
      <c r="B12" s="28" t="n">
        <f aca="false">$B$6*(0.75*INDEX(Data!$B$4:$B$74,1))^0.25</f>
        <v>4682.15405820835</v>
      </c>
      <c r="C12" s="7" t="s">
        <v>60</v>
      </c>
    </row>
    <row r="13" customFormat="false" ht="15" hidden="false" customHeight="false" outlineLevel="0" collapsed="false">
      <c r="A13" s="2" t="s">
        <v>218</v>
      </c>
      <c r="B13" s="28" t="n">
        <f aca="false">$B$6*0.5^0.25</f>
        <v>4853.65410884444</v>
      </c>
      <c r="C13" s="7" t="s">
        <v>60</v>
      </c>
    </row>
    <row r="14" customFormat="false" ht="15" hidden="false" customHeight="false" outlineLevel="0" collapsed="false">
      <c r="A14" s="2" t="s">
        <v>219</v>
      </c>
      <c r="B14" s="28" t="n">
        <f aca="false">$B$6*(0.75*(1+2/3))^0.25</f>
        <v>6103.14693257894</v>
      </c>
      <c r="C14" s="7" t="s">
        <v>60</v>
      </c>
    </row>
    <row r="15" customFormat="false" ht="15" hidden="false" customHeight="false" outlineLevel="0" collapsed="false">
      <c r="A15" s="2" t="s">
        <v>220</v>
      </c>
      <c r="B15" s="18" t="n">
        <f aca="false">10^$B$8/100*(2/3)/$B$9</f>
        <v>6120.50822964038</v>
      </c>
      <c r="C15" s="7" t="s">
        <v>161</v>
      </c>
    </row>
    <row r="16" customFormat="false" ht="15" hidden="false" customHeight="false" outlineLevel="0" collapsed="false">
      <c r="A16" s="2" t="s">
        <v>221</v>
      </c>
      <c r="B16" s="18" t="n">
        <f aca="false">$B$15*1.3*mH/(kB*$B$6)</f>
        <v>0.000167088649996741</v>
      </c>
      <c r="C16" s="7" t="s">
        <v>110</v>
      </c>
    </row>
    <row r="17" customFormat="false" ht="15" hidden="false" customHeight="false" outlineLevel="0" collapsed="false">
      <c r="A17" s="2" t="s">
        <v>222</v>
      </c>
      <c r="B17" s="12" t="n">
        <f aca="false">SUMPRODUCT(T31:T150,U31:U150)/(sigSB*B6^4)</f>
        <v>1.00452935678744</v>
      </c>
      <c r="C17" s="7" t="s">
        <v>223</v>
      </c>
    </row>
    <row r="19" customFormat="false" ht="23.85" hidden="false" customHeight="false" outlineLevel="0" collapsed="false">
      <c r="M19" s="15" t="s">
        <v>186</v>
      </c>
      <c r="N19" s="15" t="s">
        <v>224</v>
      </c>
      <c r="O19" s="15" t="s">
        <v>225</v>
      </c>
      <c r="P19" s="15" t="s">
        <v>226</v>
      </c>
      <c r="Q19" s="15" t="s">
        <v>227</v>
      </c>
    </row>
    <row r="20" customFormat="false" ht="15" hidden="false" customHeight="false" outlineLevel="0" collapsed="false">
      <c r="M20" s="16" t="n">
        <v>0.02</v>
      </c>
      <c r="N20" s="23" t="n">
        <f aca="false">SUMPRODUCT($K$31:$K$101,EXP(-$E$31:$E$101/M20)/M20,$H$31:$H$101)</f>
        <v>9012848481041.55</v>
      </c>
      <c r="O20" s="17" t="n">
        <f aca="false">N20/N40</f>
        <v>0.261732744185132</v>
      </c>
      <c r="P20" s="17" t="n">
        <f aca="false">(2+3*M20)/5</f>
        <v>0.412</v>
      </c>
      <c r="Q20" s="17" t="n">
        <f aca="false">INDEX(Data!$G$4:$G$24,MATCH(ROUND(M20*20,0)/20,Data!$E$4:$E$24,1))</f>
        <v>0.343901361522562</v>
      </c>
    </row>
    <row r="21" customFormat="false" ht="15" hidden="false" customHeight="false" outlineLevel="0" collapsed="false">
      <c r="M21" s="16" t="n">
        <v>0.05</v>
      </c>
      <c r="N21" s="23" t="n">
        <f aca="false">SUMPRODUCT($K$31:$K$101,EXP(-$E$31:$E$101/M21)/M21,$H$31:$H$101)</f>
        <v>9990138765119.64</v>
      </c>
      <c r="O21" s="17" t="n">
        <f aca="false">N21/N40</f>
        <v>0.290113213296011</v>
      </c>
      <c r="P21" s="17" t="n">
        <f aca="false">(2+3*M21)/5</f>
        <v>0.43</v>
      </c>
      <c r="Q21" s="17" t="n">
        <f aca="false">INDEX(Data!$G$4:$G$24,MATCH(ROUND(M21*20,0)/20,Data!$E$4:$E$24,1))</f>
        <v>0.390869637301926</v>
      </c>
    </row>
    <row r="22" customFormat="false" ht="15" hidden="false" customHeight="false" outlineLevel="0" collapsed="false">
      <c r="M22" s="16" t="n">
        <v>0.1</v>
      </c>
      <c r="N22" s="23" t="n">
        <f aca="false">SUMPRODUCT($K$31:$K$101,EXP(-$E$31:$E$101/M22)/M22,$H$31:$H$101)</f>
        <v>11482520239183.8</v>
      </c>
      <c r="O22" s="17" t="n">
        <f aca="false">N22/N40</f>
        <v>0.333451909092295</v>
      </c>
      <c r="P22" s="17" t="n">
        <f aca="false">(2+3*M22)/5</f>
        <v>0.46</v>
      </c>
      <c r="Q22" s="17" t="n">
        <f aca="false">INDEX(Data!$G$4:$G$24,MATCH(ROUND(M22*20,0)/20,Data!$E$4:$E$24,1))</f>
        <v>0.428965515470581</v>
      </c>
    </row>
    <row r="23" customFormat="false" ht="15" hidden="false" customHeight="false" outlineLevel="0" collapsed="false">
      <c r="M23" s="16" t="n">
        <v>0.15</v>
      </c>
      <c r="N23" s="23" t="n">
        <f aca="false">SUMPRODUCT($K$31:$K$101,EXP(-$E$31:$E$101/M23)/M23,$H$31:$H$101)</f>
        <v>12902465498009.8</v>
      </c>
      <c r="O23" s="17" t="n">
        <f aca="false">N23/N40</f>
        <v>0.374687060217597</v>
      </c>
      <c r="P23" s="17" t="n">
        <f aca="false">(2+3*M23)/5</f>
        <v>0.49</v>
      </c>
      <c r="Q23" s="17" t="n">
        <f aca="false">INDEX(Data!$G$4:$G$24,MATCH(ROUND(M23*20,0)/20,Data!$E$4:$E$24,1))</f>
        <v>0.464553511761895</v>
      </c>
    </row>
    <row r="24" customFormat="false" ht="15" hidden="false" customHeight="false" outlineLevel="0" collapsed="false">
      <c r="M24" s="16" t="n">
        <v>0.2</v>
      </c>
      <c r="N24" s="23" t="n">
        <f aca="false">SUMPRODUCT($K$31:$K$101,EXP(-$E$31:$E$101/M24)/M24,$H$31:$H$101)</f>
        <v>14283125799414.8</v>
      </c>
      <c r="O24" s="17" t="n">
        <f aca="false">N24/N40</f>
        <v>0.414781377817004</v>
      </c>
      <c r="P24" s="17" t="n">
        <f aca="false">(2+3*M24)/5</f>
        <v>0.52</v>
      </c>
      <c r="Q24" s="17" t="n">
        <f aca="false">INDEX(Data!$G$4:$G$24,MATCH(ROUND(M24*20,0)/20,Data!$E$4:$E$24,1))</f>
        <v>0.498777825552129</v>
      </c>
    </row>
    <row r="25" customFormat="false" ht="15" hidden="false" customHeight="false" outlineLevel="0" collapsed="false">
      <c r="M25" s="16" t="n">
        <v>0.25</v>
      </c>
      <c r="N25" s="23" t="n">
        <f aca="false">SUMPRODUCT($K$31:$K$101,EXP(-$E$31:$E$101/M25)/M25,$H$31:$H$101)</f>
        <v>15637403776100.6</v>
      </c>
      <c r="O25" s="17" t="n">
        <f aca="false">N25/N40</f>
        <v>0.454109553806323</v>
      </c>
      <c r="P25" s="17" t="n">
        <f aca="false">(2+3*M25)/5</f>
        <v>0.55</v>
      </c>
      <c r="Q25" s="17" t="n">
        <f aca="false">INDEX(Data!$G$4:$G$24,MATCH(ROUND(M25*20,0)/20,Data!$E$4:$E$24,1))</f>
        <v>0.53212759858568</v>
      </c>
    </row>
    <row r="26" customFormat="false" ht="15" hidden="false" customHeight="false" outlineLevel="0" collapsed="false">
      <c r="M26" s="16" t="n">
        <v>0.3</v>
      </c>
      <c r="N26" s="23" t="n">
        <f aca="false">SUMPRODUCT($K$31:$K$101,EXP(-$E$31:$E$101/M26)/M26,$H$31:$H$101)</f>
        <v>16971691013956.5</v>
      </c>
      <c r="O26" s="17" t="n">
        <f aca="false">N26/N40</f>
        <v>0.492857199573342</v>
      </c>
      <c r="P26" s="17" t="n">
        <f aca="false">(2+3*M26)/5</f>
        <v>0.58</v>
      </c>
      <c r="Q26" s="17" t="n">
        <f aca="false">INDEX(Data!$G$4:$G$24,MATCH(ROUND(M26*20,0)/20,Data!$E$4:$E$24,1))</f>
        <v>0.564865643082468</v>
      </c>
    </row>
    <row r="27" customFormat="false" ht="15" hidden="false" customHeight="false" outlineLevel="0" collapsed="false">
      <c r="M27" s="16" t="n">
        <v>0.35</v>
      </c>
      <c r="N27" s="23" t="n">
        <f aca="false">SUMPRODUCT($K$31:$K$101,EXP(-$E$31:$E$101/M27)/M27,$H$31:$H$101)</f>
        <v>18289608143791.4</v>
      </c>
      <c r="O27" s="17" t="n">
        <f aca="false">N27/N40</f>
        <v>0.531129458085828</v>
      </c>
      <c r="P27" s="17" t="n">
        <f aca="false">(2+3*M27)/5</f>
        <v>0.61</v>
      </c>
      <c r="Q27" s="17" t="n">
        <f aca="false">INDEX(Data!$G$4:$G$24,MATCH(ROUND(M27*20,0)/20,Data!$E$4:$E$24,1))</f>
        <v>0.597151605325049</v>
      </c>
    </row>
    <row r="28" customFormat="false" ht="15" hidden="false" customHeight="false" outlineLevel="0" collapsed="false">
      <c r="M28" s="16" t="n">
        <v>0.4</v>
      </c>
      <c r="N28" s="23" t="n">
        <f aca="false">SUMPRODUCT($K$31:$K$101,EXP(-$E$31:$E$101/M28)/M28,$H$31:$H$101)</f>
        <v>19593400781069.4</v>
      </c>
      <c r="O28" s="17" t="n">
        <f aca="false">N28/N40</f>
        <v>0.568991541923245</v>
      </c>
      <c r="P28" s="17" t="n">
        <f aca="false">(2+3*M28)/5</f>
        <v>0.64</v>
      </c>
      <c r="Q28" s="17" t="n">
        <f aca="false">INDEX(Data!$G$4:$G$24,MATCH(ROUND(M28*20,0)/20,Data!$E$4:$E$24,1))</f>
        <v>0.629090370542001</v>
      </c>
    </row>
    <row r="29" customFormat="false" ht="15" hidden="false" customHeight="false" outlineLevel="0" collapsed="false">
      <c r="M29" s="16" t="n">
        <v>0.45</v>
      </c>
      <c r="N29" s="23" t="n">
        <f aca="false">SUMPRODUCT($K$31:$K$101,EXP(-$E$31:$E$101/M29)/M29,$H$31:$H$101)</f>
        <v>20884560556847.6</v>
      </c>
      <c r="O29" s="17" t="n">
        <f aca="false">N29/N40</f>
        <v>0.606486767989317</v>
      </c>
      <c r="P29" s="17" t="n">
        <f aca="false">(2+3*M29)/5</f>
        <v>0.67</v>
      </c>
      <c r="Q29" s="17" t="n">
        <f aca="false">INDEX(Data!$G$4:$G$24,MATCH(ROUND(M29*20,0)/20,Data!$E$4:$E$24,1))</f>
        <v>0.660754740553557</v>
      </c>
      <c r="S29" s="7" t="s">
        <v>228</v>
      </c>
    </row>
    <row r="30" customFormat="false" ht="35.05" hidden="false" customHeight="false" outlineLevel="0" collapsed="false">
      <c r="E30" s="15" t="s">
        <v>150</v>
      </c>
      <c r="F30" s="15" t="s">
        <v>229</v>
      </c>
      <c r="G30" s="15" t="s">
        <v>230</v>
      </c>
      <c r="H30" s="15" t="s">
        <v>231</v>
      </c>
      <c r="I30" s="15" t="s">
        <v>232</v>
      </c>
      <c r="J30" s="15" t="s">
        <v>233</v>
      </c>
      <c r="K30" s="15" t="s">
        <v>234</v>
      </c>
      <c r="M30" s="16" t="n">
        <v>0.5</v>
      </c>
      <c r="N30" s="23" t="n">
        <f aca="false">SUMPRODUCT($K$31:$K$101,EXP(-$E$31:$E$101/M30)/M30,$H$31:$H$101)</f>
        <v>22164135050376</v>
      </c>
      <c r="O30" s="17" t="n">
        <f aca="false">N30/N40</f>
        <v>0.64364555794179</v>
      </c>
      <c r="P30" s="17" t="n">
        <f aca="false">(2+3*M30)/5</f>
        <v>0.7</v>
      </c>
      <c r="Q30" s="17" t="n">
        <f aca="false">INDEX(Data!$G$4:$G$24,MATCH(ROUND(M30*20,0)/20,Data!$E$4:$E$24,1))</f>
        <v>0.692197359446052</v>
      </c>
      <c r="S30" s="15" t="s">
        <v>95</v>
      </c>
      <c r="T30" s="15" t="s">
        <v>235</v>
      </c>
      <c r="U30" s="15" t="s">
        <v>236</v>
      </c>
      <c r="V30" s="15" t="s">
        <v>237</v>
      </c>
    </row>
    <row r="31" customFormat="false" ht="15" hidden="false" customHeight="false" outlineLevel="0" collapsed="false">
      <c r="E31" s="23" t="n">
        <f aca="false">INDEX(Data!$A$4:$A$74,1)</f>
        <v>0</v>
      </c>
      <c r="F31" s="17" t="n">
        <f aca="false">INDEX(Data!$B$4:$B$74,1)</f>
        <v>0.577319523037564</v>
      </c>
      <c r="G31" s="31" t="n">
        <f aca="false">INDEX(Data!$C$4:$C$74,1)</f>
        <v>1</v>
      </c>
      <c r="H31" s="23" t="n">
        <f aca="false">(E32-E31)/2</f>
        <v>0.0005</v>
      </c>
      <c r="I31" s="20" t="n">
        <f aca="false">$B$6*(0.75*(E31+F31))^0.25</f>
        <v>4682.15405820835</v>
      </c>
      <c r="J31" s="20" t="n">
        <f aca="false">$B$6*(0.75*(E31+2/3))^0.25</f>
        <v>4853.65410884444</v>
      </c>
      <c r="K31" s="23" t="n">
        <f aca="false">2*hP*cL^2/($B$7*0.000000001)^5/(EXP(hP*cL/($B$7*0.000000001*kB*I31))-1)</f>
        <v>8183253589441.24</v>
      </c>
      <c r="M31" s="16" t="n">
        <v>0.55</v>
      </c>
      <c r="N31" s="23" t="n">
        <f aca="false">SUMPRODUCT($K$31:$K$101,EXP(-$E$31:$E$101/M31)/M31,$H$31:$H$101)</f>
        <v>23432895680254.6</v>
      </c>
      <c r="O31" s="17" t="n">
        <f aca="false">N31/N40</f>
        <v>0.680490313744652</v>
      </c>
      <c r="P31" s="17" t="n">
        <f aca="false">(2+3*M31)/5</f>
        <v>0.73</v>
      </c>
      <c r="Q31" s="17" t="n">
        <f aca="false">INDEX(Data!$G$4:$G$24,MATCH(ROUND(M31*20,0)/20,Data!$E$4:$E$24,1))</f>
        <v>0.723457525484527</v>
      </c>
      <c r="S31" s="22" t="n">
        <v>20</v>
      </c>
      <c r="T31" s="23" t="n">
        <f aca="false">2*PI()*SUMPRODUCT(2*hP*cL^2/(S31*0.000000001)^5/(EXP(hP*cL/(S31*0.000000001*kB*$I$31:$I$101))-1),$G$31:$G$101,$H$31:$H$101)</f>
        <v>2.30912357538745E-013</v>
      </c>
      <c r="U31" s="23" t="n">
        <f aca="false">(S32-S31)/2*0.000000001</f>
        <v>7.42000000000001E-010</v>
      </c>
      <c r="V31" s="23" t="n">
        <f aca="false">PI()*2*hP*cL^2/(S31*0.000000001)^5/(EXP(hP*cL/(S31*0.000000001*kB*$B$6))-1)</f>
        <v>8.70952203063183E-032</v>
      </c>
    </row>
    <row r="32" customFormat="false" ht="15" hidden="false" customHeight="false" outlineLevel="0" collapsed="false">
      <c r="E32" s="23" t="n">
        <f aca="false">INDEX(Data!$A$4:$A$74,2)</f>
        <v>0.001</v>
      </c>
      <c r="F32" s="17" t="n">
        <f aca="false">INDEX(Data!$B$4:$B$74,2)</f>
        <v>0.579055250680859</v>
      </c>
      <c r="G32" s="31" t="n">
        <f aca="false">INDEX(Data!$C$4:$C$74,2)</f>
        <v>0.992668960469239</v>
      </c>
      <c r="H32" s="23" t="n">
        <f aca="false">(E33-E31)/2</f>
        <v>0.000580571642943414</v>
      </c>
      <c r="I32" s="20" t="n">
        <f aca="false">$B$6*(0.75*(E32+F32))^0.25</f>
        <v>4687.69102634296</v>
      </c>
      <c r="J32" s="20" t="n">
        <f aca="false">$B$6*(0.75*(E32+2/3))^0.25</f>
        <v>4855.47320621251</v>
      </c>
      <c r="K32" s="23" t="n">
        <f aca="false">2*hP*cL^2/($B$7*0.000000001)^5/(EXP(hP*cL/($B$7*0.000000001*kB*I32))-1)</f>
        <v>8243002822771.65</v>
      </c>
      <c r="M32" s="16" t="n">
        <v>0.6</v>
      </c>
      <c r="N32" s="23" t="n">
        <f aca="false">SUMPRODUCT($K$31:$K$101,EXP(-$E$31:$E$101/M32)/M32,$H$31:$H$101)</f>
        <v>24691434454770.1</v>
      </c>
      <c r="O32" s="17" t="n">
        <f aca="false">N32/N40</f>
        <v>0.717038227293873</v>
      </c>
      <c r="P32" s="17" t="n">
        <f aca="false">(2+3*M32)/5</f>
        <v>0.76</v>
      </c>
      <c r="Q32" s="17" t="n">
        <f aca="false">INDEX(Data!$G$4:$G$24,MATCH(ROUND(M32*20,0)/20,Data!$E$4:$E$24,1))</f>
        <v>0.754565332706754</v>
      </c>
      <c r="S32" s="22" t="n">
        <v>21.484</v>
      </c>
      <c r="T32" s="23" t="n">
        <f aca="false">2*PI()*SUMPRODUCT(2*hP*cL^2/(S32*0.000000001)^5/(EXP(hP*cL/(S32*0.000000001*kB*$I$31:$I$101))-1),$G$31:$G$101,$H$31:$H$101)</f>
        <v>1.67505523188838E-011</v>
      </c>
      <c r="U32" s="23" t="n">
        <f aca="false">(S33-S31)/2*0.000000001</f>
        <v>1.539E-009</v>
      </c>
      <c r="V32" s="23" t="n">
        <f aca="false">PI()*2*hP*cL^2/(S32*0.000000001)^5/(EXP(hP*cL/(S32*0.000000001*kB*$B$6))-1)</f>
        <v>3.33762209697945E-028</v>
      </c>
    </row>
    <row r="33" customFormat="false" ht="15" hidden="false" customHeight="false" outlineLevel="0" collapsed="false">
      <c r="E33" s="23" t="n">
        <f aca="false">INDEX(Data!$A$4:$A$74,3)</f>
        <v>0.00116114328588683</v>
      </c>
      <c r="F33" s="17" t="n">
        <f aca="false">INDEX(Data!$B$4:$B$74,3)</f>
        <v>0.579285383685983</v>
      </c>
      <c r="G33" s="31" t="n">
        <f aca="false">INDEX(Data!$C$4:$C$74,3)</f>
        <v>0.991660999890295</v>
      </c>
      <c r="H33" s="23" t="n">
        <f aca="false">(E34-E32)/2</f>
        <v>0.000174126865180031</v>
      </c>
      <c r="I33" s="20" t="n">
        <f aca="false">$B$6*(0.75*(E33+F33))^0.25</f>
        <v>4688.48134699371</v>
      </c>
      <c r="J33" s="20" t="n">
        <f aca="false">$B$6*(0.75*(E33+2/3))^0.25</f>
        <v>4855.76615033442</v>
      </c>
      <c r="K33" s="23" t="n">
        <f aca="false">2*hP*cL^2/($B$7*0.000000001)^5/(EXP(hP*cL/($B$7*0.000000001*kB*I33))-1)</f>
        <v>8251555163547.26</v>
      </c>
      <c r="M33" s="16" t="n">
        <v>0.65</v>
      </c>
      <c r="N33" s="23" t="n">
        <f aca="false">SUMPRODUCT($K$31:$K$101,EXP(-$E$31:$E$101/M33)/M33,$H$31:$H$101)</f>
        <v>25940222501937.5</v>
      </c>
      <c r="O33" s="17" t="n">
        <f aca="false">N33/N40</f>
        <v>0.753302980127368</v>
      </c>
      <c r="P33" s="17" t="n">
        <f aca="false">(2+3*M33)/5</f>
        <v>0.79</v>
      </c>
      <c r="Q33" s="17" t="n">
        <f aca="false">INDEX(Data!$G$4:$G$24,MATCH(ROUND(M33*20,0)/20,Data!$E$4:$E$24,1))</f>
        <v>0.785544315382961</v>
      </c>
      <c r="S33" s="22" t="n">
        <v>23.078</v>
      </c>
      <c r="T33" s="23" t="n">
        <f aca="false">2*PI()*SUMPRODUCT(2*hP*cL^2/(S33*0.000000001)^5/(EXP(hP*cL/(S33*0.000000001*kB*$I$31:$I$101))-1),$G$31:$G$101,$H$31:$H$101)</f>
        <v>9.38985598810061E-010</v>
      </c>
      <c r="U33" s="23" t="n">
        <f aca="false">(S34-S32)/2*0.000000001</f>
        <v>1.653E-009</v>
      </c>
      <c r="V33" s="23" t="n">
        <f aca="false">PI()*2*hP*cL^2/(S33*0.000000001)^5/(EXP(hP*cL/(S33*0.000000001*kB*$B$6))-1)</f>
        <v>7.05342838272233E-025</v>
      </c>
    </row>
    <row r="34" customFormat="false" ht="15" hidden="false" customHeight="false" outlineLevel="0" collapsed="false">
      <c r="E34" s="23" t="n">
        <f aca="false">INDEX(Data!$A$4:$A$74,4)</f>
        <v>0.00134825373036006</v>
      </c>
      <c r="F34" s="17" t="n">
        <f aca="false">INDEX(Data!$B$4:$B$74,4)</f>
        <v>0.579544691018356</v>
      </c>
      <c r="G34" s="31" t="n">
        <f aca="false">INDEX(Data!$C$4:$C$74,4)</f>
        <v>0.990518535926439</v>
      </c>
      <c r="H34" s="23" t="n">
        <f aca="false">(E35-E33)/2</f>
        <v>0.000202186240396314</v>
      </c>
      <c r="I34" s="20" t="n">
        <f aca="false">$B$6*(0.75*(E34+F34))^0.25</f>
        <v>4689.38255750344</v>
      </c>
      <c r="J34" s="20" t="n">
        <f aca="false">$B$6*(0.75*(E34+2/3))^0.25</f>
        <v>4856.10623392516</v>
      </c>
      <c r="K34" s="23" t="n">
        <f aca="false">2*hP*cL^2/($B$7*0.000000001)^5/(EXP(hP*cL/($B$7*0.000000001*kB*I34))-1)</f>
        <v>8261314811199.53</v>
      </c>
      <c r="M34" s="16" t="n">
        <v>0.7</v>
      </c>
      <c r="N34" s="23" t="n">
        <f aca="false">SUMPRODUCT($K$31:$K$101,EXP(-$E$31:$E$101/M34)/M34,$H$31:$H$101)</f>
        <v>27179646900002.1</v>
      </c>
      <c r="O34" s="17" t="n">
        <f aca="false">N34/N40</f>
        <v>0.789295812981246</v>
      </c>
      <c r="P34" s="17" t="n">
        <f aca="false">(2+3*M34)/5</f>
        <v>0.82</v>
      </c>
      <c r="Q34" s="17" t="n">
        <f aca="false">INDEX(Data!$G$4:$G$24,MATCH(ROUND(M34*20,0)/20,Data!$E$4:$E$24,1))</f>
        <v>0.816413204642129</v>
      </c>
      <c r="S34" s="22" t="n">
        <v>24.79</v>
      </c>
      <c r="T34" s="23" t="n">
        <f aca="false">2*PI()*SUMPRODUCT(2*hP*cL^2/(S34*0.000000001)^5/(EXP(hP*cL/(S34*0.000000001*kB*$I$31:$I$101))-1),$G$31:$G$101,$H$31:$H$101)</f>
        <v>4.12595371875577E-008</v>
      </c>
      <c r="U34" s="23" t="n">
        <f aca="false">(S35-S33)/2*0.000000001</f>
        <v>1.776E-009</v>
      </c>
      <c r="V34" s="23" t="n">
        <f aca="false">PI()*2*hP*cL^2/(S34*0.000000001)^5/(EXP(hP*cL/(S34*0.000000001*kB*$B$6))-1)</f>
        <v>8.56105448321381E-022</v>
      </c>
    </row>
    <row r="35" customFormat="false" ht="15" hidden="false" customHeight="false" outlineLevel="0" collapsed="false">
      <c r="E35" s="23" t="n">
        <f aca="false">INDEX(Data!$A$4:$A$74,5)</f>
        <v>0.00156551576667946</v>
      </c>
      <c r="F35" s="17" t="n">
        <f aca="false">INDEX(Data!$B$4:$B$74,5)</f>
        <v>0.579836621494636</v>
      </c>
      <c r="G35" s="31" t="n">
        <f aca="false">INDEX(Data!$C$4:$C$74,5)</f>
        <v>0.989224387726524</v>
      </c>
      <c r="H35" s="23" t="n">
        <f aca="false">(E36-E34)/2</f>
        <v>0.00023476719553488</v>
      </c>
      <c r="I35" s="20" t="n">
        <f aca="false">$B$6*(0.75*(E35+F35))^0.25</f>
        <v>4690.40986124708</v>
      </c>
      <c r="J35" s="20" t="n">
        <f aca="false">$B$6*(0.75*(E35+2/3))^0.25</f>
        <v>4856.50103007572</v>
      </c>
      <c r="K35" s="23" t="n">
        <f aca="false">2*hP*cL^2/($B$7*0.000000001)^5/(EXP(hP*cL/($B$7*0.000000001*kB*I35))-1)</f>
        <v>8272449511045.37</v>
      </c>
      <c r="M35" s="16" t="n">
        <v>0.75</v>
      </c>
      <c r="N35" s="23" t="n">
        <f aca="false">SUMPRODUCT($K$31:$K$101,EXP(-$E$31:$E$101/M35)/M35,$H$31:$H$101)</f>
        <v>28410034624914.3</v>
      </c>
      <c r="O35" s="17" t="n">
        <f aca="false">N35/N40</f>
        <v>0.825026221223475</v>
      </c>
      <c r="P35" s="17" t="n">
        <f aca="false">(2+3*M35)/5</f>
        <v>0.85</v>
      </c>
      <c r="Q35" s="17" t="n">
        <f aca="false">INDEX(Data!$G$4:$G$24,MATCH(ROUND(M35*20,0)/20,Data!$E$4:$E$24,1))</f>
        <v>0.847187134065361</v>
      </c>
      <c r="S35" s="22" t="n">
        <v>26.63</v>
      </c>
      <c r="T35" s="23" t="n">
        <f aca="false">2*PI()*SUMPRODUCT(2*hP*cL^2/(S35*0.000000001)^5/(EXP(hP*cL/(S35*0.000000001*kB*$I$31:$I$101))-1),$G$31:$G$101,$H$31:$H$101)</f>
        <v>1.4440509614111E-006</v>
      </c>
      <c r="U35" s="23" t="n">
        <f aca="false">(S36-S34)/2*0.000000001</f>
        <v>1.9075E-009</v>
      </c>
      <c r="V35" s="23" t="n">
        <f aca="false">PI()*2*hP*cL^2/(S35*0.000000001)^5/(EXP(hP*cL/(S35*0.000000001*kB*$B$6))-1)</f>
        <v>6.22838472137912E-019</v>
      </c>
    </row>
    <row r="36" customFormat="false" ht="15" hidden="false" customHeight="false" outlineLevel="0" collapsed="false">
      <c r="E36" s="23" t="n">
        <f aca="false">INDEX(Data!$A$4:$A$74,6)</f>
        <v>0.00181778812142982</v>
      </c>
      <c r="F36" s="17" t="n">
        <f aca="false">INDEX(Data!$B$4:$B$74,6)</f>
        <v>0.580164984214312</v>
      </c>
      <c r="G36" s="31" t="n">
        <f aca="false">INDEX(Data!$C$4:$C$74,6)</f>
        <v>0.987759327833826</v>
      </c>
      <c r="H36" s="23" t="n">
        <f aca="false">(E37-E35)/2</f>
        <v>0.000272598352841807</v>
      </c>
      <c r="I36" s="20" t="n">
        <f aca="false">$B$6*(0.75*(E36+F36))^0.25</f>
        <v>4691.58047834856</v>
      </c>
      <c r="J36" s="20" t="n">
        <f aca="false">$B$6*(0.75*(E36+2/3))^0.25</f>
        <v>4856.95932420393</v>
      </c>
      <c r="K36" s="23" t="n">
        <f aca="false">2*hP*cL^2/($B$7*0.000000001)^5/(EXP(hP*cL/($B$7*0.000000001*kB*I36))-1)</f>
        <v>8285149927615.36</v>
      </c>
      <c r="M36" s="16" t="n">
        <v>0.8</v>
      </c>
      <c r="N36" s="23" t="n">
        <f aca="false">SUMPRODUCT($K$31:$K$101,EXP(-$E$31:$E$101/M36)/M36,$H$31:$H$101)</f>
        <v>29631668560922.4</v>
      </c>
      <c r="O36" s="17" t="n">
        <f aca="false">N36/N40</f>
        <v>0.860502419800834</v>
      </c>
      <c r="P36" s="17" t="n">
        <f aca="false">(2+3*M36)/5</f>
        <v>0.88</v>
      </c>
      <c r="Q36" s="17" t="n">
        <f aca="false">INDEX(Data!$G$4:$G$24,MATCH(ROUND(M36*20,0)/20,Data!$E$4:$E$24,1))</f>
        <v>0.877878490125359</v>
      </c>
      <c r="S36" s="22" t="n">
        <v>28.605</v>
      </c>
      <c r="T36" s="23" t="n">
        <f aca="false">2*PI()*SUMPRODUCT(2*hP*cL^2/(S36*0.000000001)^5/(EXP(hP*cL/(S36*0.000000001*kB*$I$31:$I$101))-1),$G$31:$G$101,$H$31:$H$101)</f>
        <v>4.05910527907022E-005</v>
      </c>
      <c r="U36" s="23" t="n">
        <f aca="false">(S37-S35)/2*0.000000001</f>
        <v>2.049E-009</v>
      </c>
      <c r="V36" s="23" t="n">
        <f aca="false">PI()*2*hP*cL^2/(S36*0.000000001)^5/(EXP(hP*cL/(S36*0.000000001*kB*$B$6))-1)</f>
        <v>2.79114511045036E-016</v>
      </c>
    </row>
    <row r="37" customFormat="false" ht="15" hidden="false" customHeight="false" outlineLevel="0" collapsed="false">
      <c r="E37" s="23" t="n">
        <f aca="false">INDEX(Data!$A$4:$A$74,7)</f>
        <v>0.00211071247236307</v>
      </c>
      <c r="F37" s="17" t="n">
        <f aca="false">INDEX(Data!$B$4:$B$74,7)</f>
        <v>0.580533976909004</v>
      </c>
      <c r="G37" s="31" t="n">
        <f aca="false">INDEX(Data!$C$4:$C$74,7)</f>
        <v>0.986101867993547</v>
      </c>
      <c r="H37" s="23" t="n">
        <f aca="false">(E38-E36)/2</f>
        <v>0.000316525747146072</v>
      </c>
      <c r="I37" s="20" t="n">
        <f aca="false">$B$6*(0.75*(E37+F37))^0.25</f>
        <v>4692.91389989854</v>
      </c>
      <c r="J37" s="20" t="n">
        <f aca="false">$B$6*(0.75*(E37+2/3))^0.25</f>
        <v>4857.49130663178</v>
      </c>
      <c r="K37" s="23" t="n">
        <f aca="false">2*hP*cL^2/($B$7*0.000000001)^5/(EXP(hP*cL/($B$7*0.000000001*kB*I37))-1)</f>
        <v>8299632733567.28</v>
      </c>
      <c r="M37" s="16" t="n">
        <v>0.85</v>
      </c>
      <c r="N37" s="23" t="n">
        <f aca="false">SUMPRODUCT($K$31:$K$101,EXP(-$E$31:$E$101/M37)/M37,$H$31:$H$101)</f>
        <v>30844798466616.8</v>
      </c>
      <c r="O37" s="17" t="n">
        <f aca="false">N37/N40</f>
        <v>0.895731661692378</v>
      </c>
      <c r="P37" s="17" t="n">
        <f aca="false">(2+3*M37)/5</f>
        <v>0.91</v>
      </c>
      <c r="Q37" s="17" t="n">
        <f aca="false">INDEX(Data!$G$4:$G$24,MATCH(ROUND(M37*20,0)/20,Data!$E$4:$E$24,1))</f>
        <v>0.908497526315803</v>
      </c>
      <c r="S37" s="22" t="n">
        <v>30.728</v>
      </c>
      <c r="T37" s="23" t="n">
        <f aca="false">2*PI()*SUMPRODUCT(2*hP*cL^2/(S37*0.000000001)^5/(EXP(hP*cL/(S37*0.000000001*kB*$I$31:$I$101))-1),$G$31:$G$101,$H$31:$H$101)</f>
        <v>0.00093203830167256</v>
      </c>
      <c r="U37" s="23" t="n">
        <f aca="false">(S38-S36)/2*0.000000001</f>
        <v>2.2015E-009</v>
      </c>
      <c r="V37" s="23" t="n">
        <f aca="false">PI()*2*hP*cL^2/(S37*0.000000001)^5/(EXP(hP*cL/(S37*0.000000001*kB*$B$6))-1)</f>
        <v>8.036014124871E-014</v>
      </c>
    </row>
    <row r="38" customFormat="false" ht="15" hidden="false" customHeight="false" outlineLevel="0" collapsed="false">
      <c r="E38" s="23" t="n">
        <f aca="false">INDEX(Data!$A$4:$A$74,8)</f>
        <v>0.00245083961572197</v>
      </c>
      <c r="F38" s="17" t="n">
        <f aca="false">INDEX(Data!$B$4:$B$74,8)</f>
        <v>0.580948214567638</v>
      </c>
      <c r="G38" s="31" t="n">
        <f aca="false">INDEX(Data!$C$4:$C$74,8)</f>
        <v>0.984228028817382</v>
      </c>
      <c r="H38" s="23" t="n">
        <f aca="false">(E39-E37)/2</f>
        <v>0.000367531746108973</v>
      </c>
      <c r="I38" s="20" t="n">
        <f aca="false">$B$6*(0.75*(E38+F38))^0.25</f>
        <v>4694.43217149548</v>
      </c>
      <c r="J38" s="20" t="n">
        <f aca="false">$B$6*(0.75*(E38+2/3))^0.25</f>
        <v>4858.10879523485</v>
      </c>
      <c r="K38" s="23" t="n">
        <f aca="false">2*hP*cL^2/($B$7*0.000000001)^5/(EXP(hP*cL/($B$7*0.000000001*kB*I38))-1)</f>
        <v>8316144114897.12</v>
      </c>
      <c r="M38" s="16" t="n">
        <v>0.9</v>
      </c>
      <c r="N38" s="23" t="n">
        <f aca="false">SUMPRODUCT($K$31:$K$101,EXP(-$E$31:$E$101/M38)/M38,$H$31:$H$101)</f>
        <v>32049648648016</v>
      </c>
      <c r="O38" s="17" t="n">
        <f aca="false">N38/N40</f>
        <v>0.930720460735534</v>
      </c>
      <c r="P38" s="17" t="n">
        <f aca="false">(2+3*M38)/5</f>
        <v>0.94</v>
      </c>
      <c r="Q38" s="17" t="n">
        <f aca="false">INDEX(Data!$G$4:$G$24,MATCH(ROUND(M38*20,0)/20,Data!$E$4:$E$24,1))</f>
        <v>0.939052815704138</v>
      </c>
      <c r="S38" s="22" t="n">
        <v>33.008</v>
      </c>
      <c r="T38" s="23" t="n">
        <f aca="false">2*PI()*SUMPRODUCT(2*hP*cL^2/(S38*0.000000001)^5/(EXP(hP*cL/(S38*0.000000001*kB*$I$31:$I$101))-1),$G$31:$G$101,$H$31:$H$101)</f>
        <v>0.0176280524713961</v>
      </c>
      <c r="U38" s="23" t="n">
        <f aca="false">(S39-S37)/2*0.000000001</f>
        <v>2.3645E-009</v>
      </c>
      <c r="V38" s="23" t="n">
        <f aca="false">PI()*2*hP*cL^2/(S38*0.000000001)^5/(EXP(hP*cL/(S38*0.000000001*kB*$B$6))-1)</f>
        <v>1.52448839594387E-011</v>
      </c>
    </row>
    <row r="39" customFormat="false" ht="15" hidden="false" customHeight="false" outlineLevel="0" collapsed="false">
      <c r="E39" s="23" t="n">
        <f aca="false">INDEX(Data!$A$4:$A$74,9)</f>
        <v>0.00284577596458102</v>
      </c>
      <c r="F39" s="17" t="n">
        <f aca="false">INDEX(Data!$B$4:$B$74,9)</f>
        <v>0.581412757823075</v>
      </c>
      <c r="G39" s="31" t="n">
        <f aca="false">INDEX(Data!$C$4:$C$74,9)</f>
        <v>0.982111093575599</v>
      </c>
      <c r="H39" s="23" t="n">
        <f aca="false">(E40-E38)/2</f>
        <v>0.000426757019344696</v>
      </c>
      <c r="I39" s="20" t="n">
        <f aca="false">$B$6*(0.75*(E39+F39))^0.25</f>
        <v>4696.16020890835</v>
      </c>
      <c r="J39" s="20" t="n">
        <f aca="false">$B$6*(0.75*(E39+2/3))^0.25</f>
        <v>4858.82549267937</v>
      </c>
      <c r="K39" s="23" t="n">
        <f aca="false">2*hP*cL^2/($B$7*0.000000001)^5/(EXP(hP*cL/($B$7*0.000000001*kB*I39))-1)</f>
        <v>8334963750608.97</v>
      </c>
      <c r="M39" s="16" t="n">
        <v>0.95</v>
      </c>
      <c r="N39" s="23" t="n">
        <f aca="false">SUMPRODUCT($K$31:$K$101,EXP(-$E$31:$E$101/M39)/M39,$H$31:$H$101)</f>
        <v>33246423431715.4</v>
      </c>
      <c r="O39" s="17" t="n">
        <f aca="false">N39/N40</f>
        <v>0.965474750566112</v>
      </c>
      <c r="P39" s="17" t="n">
        <f aca="false">(2+3*M39)/5</f>
        <v>0.97</v>
      </c>
      <c r="Q39" s="17" t="n">
        <f aca="false">INDEX(Data!$G$4:$G$24,MATCH(ROUND(M39*20,0)/20,Data!$E$4:$E$24,1))</f>
        <v>0.969551590369404</v>
      </c>
      <c r="S39" s="22" t="n">
        <v>35.457</v>
      </c>
      <c r="T39" s="23" t="n">
        <f aca="false">2*PI()*SUMPRODUCT(2*hP*cL^2/(S39*0.000000001)^5/(EXP(hP*cL/(S39*0.000000001*kB*$I$31:$I$101))-1),$G$31:$G$101,$H$31:$H$101)</f>
        <v>0.277754114572687</v>
      </c>
      <c r="U39" s="23" t="n">
        <f aca="false">(S40-S38)/2*0.000000001</f>
        <v>2.54E-009</v>
      </c>
      <c r="V39" s="23" t="n">
        <f aca="false">PI()*2*hP*cL^2/(S39*0.000000001)^5/(EXP(hP*cL/(S39*0.000000001*kB*$B$6))-1)</f>
        <v>1.96324859663102E-009</v>
      </c>
    </row>
    <row r="40" customFormat="false" ht="15" hidden="false" customHeight="false" outlineLevel="0" collapsed="false">
      <c r="E40" s="23" t="n">
        <f aca="false">INDEX(Data!$A$4:$A$74,10)</f>
        <v>0.00330435365441136</v>
      </c>
      <c r="F40" s="17" t="n">
        <f aca="false">INDEX(Data!$B$4:$B$74,10)</f>
        <v>0.581933140447196</v>
      </c>
      <c r="G40" s="31" t="n">
        <f aca="false">INDEX(Data!$C$4:$C$74,10)</f>
        <v>0.979721346862627</v>
      </c>
      <c r="H40" s="23" t="n">
        <f aca="false">(E41-E39)/2</f>
        <v>0.000495526047717171</v>
      </c>
      <c r="I40" s="20" t="n">
        <f aca="false">$B$6*(0.75*(E40+F40))^0.25</f>
        <v>4698.12614879112</v>
      </c>
      <c r="J40" s="20" t="n">
        <f aca="false">$B$6*(0.75*(E40+2/3))^0.25</f>
        <v>4859.65728337828</v>
      </c>
      <c r="K40" s="23" t="n">
        <f aca="false">2*hP*cL^2/($B$7*0.000000001)^5/(EXP(hP*cL/($B$7*0.000000001*kB*I40))-1)</f>
        <v>8356409333994.65</v>
      </c>
      <c r="M40" s="16" t="n">
        <v>1</v>
      </c>
      <c r="N40" s="23" t="n">
        <f aca="false">SUMPRODUCT($K$31:$K$101,EXP(-$E$31:$E$101/M40)/M40,$H$31:$H$101)</f>
        <v>34435311138091.5</v>
      </c>
      <c r="O40" s="17" t="n">
        <f aca="false">N40/N40</f>
        <v>1</v>
      </c>
      <c r="P40" s="17" t="n">
        <f aca="false">(2+3*M40)/5</f>
        <v>1</v>
      </c>
      <c r="Q40" s="17" t="n">
        <f aca="false">INDEX(Data!$G$4:$G$24,MATCH(ROUND(M40*20,0)/20,Data!$E$4:$E$24,1))</f>
        <v>1</v>
      </c>
      <c r="S40" s="22" t="n">
        <v>38.088</v>
      </c>
      <c r="T40" s="23" t="n">
        <f aca="false">2*PI()*SUMPRODUCT(2*hP*cL^2/(S40*0.000000001)^5/(EXP(hP*cL/(S40*0.000000001*kB*$I$31:$I$101))-1),$G$31:$G$101,$H$31:$H$101)</f>
        <v>3.68479223074768</v>
      </c>
      <c r="U40" s="23" t="n">
        <f aca="false">(S41-S39)/2*0.000000001</f>
        <v>2.7285E-009</v>
      </c>
      <c r="V40" s="23" t="n">
        <f aca="false">PI()*2*hP*cL^2/(S40*0.000000001)^5/(EXP(hP*cL/(S40*0.000000001*kB*$B$6))-1)</f>
        <v>1.76429558450738E-007</v>
      </c>
    </row>
    <row r="41" customFormat="false" ht="15" hidden="false" customHeight="false" outlineLevel="0" collapsed="false">
      <c r="E41" s="23" t="n">
        <f aca="false">INDEX(Data!$A$4:$A$74,11)</f>
        <v>0.00383682806001536</v>
      </c>
      <c r="F41" s="17" t="n">
        <f aca="false">INDEX(Data!$B$4:$B$74,11)</f>
        <v>0.582515395139863</v>
      </c>
      <c r="G41" s="31" t="n">
        <f aca="false">INDEX(Data!$C$4:$C$74,11)</f>
        <v>0.977025799493334</v>
      </c>
      <c r="H41" s="23" t="n">
        <f aca="false">(E42-E40)/2</f>
        <v>0.00057537674328883</v>
      </c>
      <c r="I41" s="20" t="n">
        <f aca="false">$B$6*(0.75*(E41+F41))^0.25</f>
        <v>4700.36173748223</v>
      </c>
      <c r="J41" s="20" t="n">
        <f aca="false">$B$6*(0.75*(E41+2/3))^0.25</f>
        <v>4860.62257597384</v>
      </c>
      <c r="K41" s="23" t="n">
        <f aca="false">2*hP*cL^2/($B$7*0.000000001)^5/(EXP(hP*cL/($B$7*0.000000001*kB*I41))-1)</f>
        <v>8380841713294.82</v>
      </c>
      <c r="S41" s="22" t="n">
        <v>40.914</v>
      </c>
      <c r="T41" s="23" t="n">
        <f aca="false">2*PI()*SUMPRODUCT(2*hP*cL^2/(S41*0.000000001)^5/(EXP(hP*cL/(S41*0.000000001*kB*$I$31:$I$101))-1),$G$31:$G$101,$H$31:$H$101)</f>
        <v>41.5340401083241</v>
      </c>
      <c r="U41" s="23" t="n">
        <f aca="false">(S42-S40)/2*0.000000001</f>
        <v>2.9305E-009</v>
      </c>
      <c r="V41" s="23" t="n">
        <f aca="false">PI()*2*hP*cL^2/(S41*0.000000001)^5/(EXP(hP*cL/(S41*0.000000001*kB*$B$6))-1)</f>
        <v>1.13330733615616E-005</v>
      </c>
    </row>
    <row r="42" customFormat="false" ht="15" hidden="false" customHeight="false" outlineLevel="0" collapsed="false">
      <c r="E42" s="23" t="n">
        <f aca="false">INDEX(Data!$A$4:$A$74,12)</f>
        <v>0.00445510714098902</v>
      </c>
      <c r="F42" s="17" t="n">
        <f aca="false">INDEX(Data!$B$4:$B$74,12)</f>
        <v>0.583166076610894</v>
      </c>
      <c r="G42" s="31" t="n">
        <f aca="false">INDEX(Data!$C$4:$C$74,12)</f>
        <v>0.973987901761685</v>
      </c>
      <c r="H42" s="23" t="n">
        <f aca="false">(E43-E41)/2</f>
        <v>0.000668094842325254</v>
      </c>
      <c r="I42" s="20" t="n">
        <f aca="false">$B$6*(0.75*(E42+F42))^0.25</f>
        <v>4702.90276098299</v>
      </c>
      <c r="J42" s="20" t="n">
        <f aca="false">$B$6*(0.75*(E42+2/3))^0.25</f>
        <v>4861.74269788984</v>
      </c>
      <c r="K42" s="23" t="n">
        <f aca="false">2*hP*cL^2/($B$7*0.000000001)^5/(EXP(hP*cL/($B$7*0.000000001*kB*I42))-1)</f>
        <v>8408670742107.44</v>
      </c>
      <c r="S42" s="22" t="n">
        <v>43.949</v>
      </c>
      <c r="T42" s="23" t="n">
        <f aca="false">2*PI()*SUMPRODUCT(2*hP*cL^2/(S42*0.000000001)^5/(EXP(hP*cL/(S42*0.000000001*kB*$I$31:$I$101))-1),$G$31:$G$101,$H$31:$H$101)</f>
        <v>401.274664027716</v>
      </c>
      <c r="U42" s="23" t="n">
        <f aca="false">(S43-S41)/2*0.000000001</f>
        <v>3.148E-009</v>
      </c>
      <c r="V42" s="23" t="n">
        <f aca="false">PI()*2*hP*cL^2/(S42*0.000000001)^5/(EXP(hP*cL/(S42*0.000000001*kB*$B$6))-1)</f>
        <v>0.000532323323896079</v>
      </c>
    </row>
    <row r="43" customFormat="false" ht="15" hidden="false" customHeight="false" outlineLevel="0" collapsed="false">
      <c r="E43" s="23" t="n">
        <f aca="false">INDEX(Data!$A$4:$A$74,13)</f>
        <v>0.00517301774466587</v>
      </c>
      <c r="F43" s="17" t="n">
        <f aca="false">INDEX(Data!$B$4:$B$74,13)</f>
        <v>0.583892151149632</v>
      </c>
      <c r="G43" s="31" t="n">
        <f aca="false">INDEX(Data!$C$4:$C$74,13)</f>
        <v>0.970567248163202</v>
      </c>
      <c r="H43" s="23" t="n">
        <f aca="false">(E44-E42)/2</f>
        <v>0.000775753840501588</v>
      </c>
      <c r="I43" s="20" t="n">
        <f aca="false">$B$6*(0.75*(E43+F43))^0.25</f>
        <v>4705.78926039965</v>
      </c>
      <c r="J43" s="20" t="n">
        <f aca="false">$B$6*(0.75*(E43+2/3))^0.25</f>
        <v>4863.04234928426</v>
      </c>
      <c r="K43" s="23" t="n">
        <f aca="false">2*hP*cL^2/($B$7*0.000000001)^5/(EXP(hP*cL/($B$7*0.000000001*kB*I43))-1)</f>
        <v>8440359099992.02</v>
      </c>
      <c r="S43" s="22" t="n">
        <v>47.21</v>
      </c>
      <c r="T43" s="23" t="n">
        <f aca="false">2*PI()*SUMPRODUCT(2*hP*cL^2/(S43*0.000000001)^5/(EXP(hP*cL/(S43*0.000000001*kB*$I$31:$I$101))-1),$G$31:$G$101,$H$31:$H$101)</f>
        <v>3354.98801404925</v>
      </c>
      <c r="U43" s="23" t="n">
        <f aca="false">(S44-S42)/2*0.000000001</f>
        <v>3.382E-009</v>
      </c>
      <c r="V43" s="23" t="n">
        <f aca="false">PI()*2*hP*cL^2/(S43*0.000000001)^5/(EXP(hP*cL/(S43*0.000000001*kB*$B$6))-1)</f>
        <v>0.018715467076449</v>
      </c>
    </row>
    <row r="44" customFormat="false" ht="15" hidden="false" customHeight="false" outlineLevel="0" collapsed="false">
      <c r="E44" s="23" t="n">
        <f aca="false">INDEX(Data!$A$4:$A$74,14)</f>
        <v>0.00600661482199219</v>
      </c>
      <c r="F44" s="17" t="n">
        <f aca="false">INDEX(Data!$B$4:$B$74,14)</f>
        <v>0.584701246853153</v>
      </c>
      <c r="G44" s="31" t="n">
        <f aca="false">INDEX(Data!$C$4:$C$74,14)</f>
        <v>0.966719277883874</v>
      </c>
      <c r="H44" s="23" t="n">
        <f aca="false">(E45-E43)/2</f>
        <v>0.000900761363399338</v>
      </c>
      <c r="I44" s="20" t="n">
        <f aca="false">$B$6*(0.75*(E44+F44))^0.25</f>
        <v>4709.06652742572</v>
      </c>
      <c r="J44" s="20" t="n">
        <f aca="false">$B$6*(0.75*(E44+2/3))^0.25</f>
        <v>4864.55012455965</v>
      </c>
      <c r="K44" s="23" t="n">
        <f aca="false">2*hP*cL^2/($B$7*0.000000001)^5/(EXP(hP*cL/($B$7*0.000000001*kB*I44))-1)</f>
        <v>8476435079653.66</v>
      </c>
      <c r="S44" s="22" t="n">
        <v>50.713</v>
      </c>
      <c r="T44" s="23" t="n">
        <f aca="false">2*PI()*SUMPRODUCT(2*hP*cL^2/(S44*0.000000001)^5/(EXP(hP*cL/(S44*0.000000001*kB*$I$31:$I$101))-1),$G$31:$G$101,$H$31:$H$101)</f>
        <v>24456.7265167271</v>
      </c>
      <c r="U44" s="23" t="n">
        <f aca="false">(S45-S43)/2*0.000000001</f>
        <v>3.633E-009</v>
      </c>
      <c r="V44" s="23" t="n">
        <f aca="false">PI()*2*hP*cL^2/(S44*0.000000001)^5/(EXP(hP*cL/(S44*0.000000001*kB*$B$6))-1)</f>
        <v>0.502010157953363</v>
      </c>
    </row>
    <row r="45" customFormat="false" ht="15" hidden="false" customHeight="false" outlineLevel="0" collapsed="false">
      <c r="E45" s="23" t="n">
        <f aca="false">INDEX(Data!$A$4:$A$74,15)</f>
        <v>0.00697454047146454</v>
      </c>
      <c r="F45" s="17" t="n">
        <f aca="false">INDEX(Data!$B$4:$B$74,15)</f>
        <v>0.585601646526454</v>
      </c>
      <c r="G45" s="31" t="n">
        <f aca="false">INDEX(Data!$C$4:$C$74,15)</f>
        <v>0.962394976831515</v>
      </c>
      <c r="H45" s="23" t="n">
        <f aca="false">(E46-E44)/2</f>
        <v>0.00104591300929741</v>
      </c>
      <c r="I45" s="20" t="n">
        <f aca="false">$B$6*(0.75*(E45+F45))^0.25</f>
        <v>4712.78564684139</v>
      </c>
      <c r="J45" s="20" t="n">
        <f aca="false">$B$6*(0.75*(E45+2/3))^0.25</f>
        <v>4866.29911043305</v>
      </c>
      <c r="K45" s="23" t="n">
        <f aca="false">2*hP*cL^2/($B$7*0.000000001)^5/(EXP(hP*cL/($B$7*0.000000001*kB*I45))-1)</f>
        <v>8517500977990.27</v>
      </c>
      <c r="S45" s="22" t="n">
        <v>54.476</v>
      </c>
      <c r="T45" s="23" t="n">
        <f aca="false">2*PI()*SUMPRODUCT(2*hP*cL^2/(S45*0.000000001)^5/(EXP(hP*cL/(S45*0.000000001*kB*$I$31:$I$101))-1),$G$31:$G$101,$H$31:$H$101)</f>
        <v>156629.37581588</v>
      </c>
      <c r="U45" s="23" t="n">
        <f aca="false">(S46-S44)/2*0.000000001</f>
        <v>3.9025E-009</v>
      </c>
      <c r="V45" s="23" t="n">
        <f aca="false">PI()*2*hP*cL^2/(S45*0.000000001)^5/(EXP(hP*cL/(S45*0.000000001*kB*$B$6))-1)</f>
        <v>10.4673929696163</v>
      </c>
    </row>
    <row r="46" customFormat="false" ht="15" hidden="false" customHeight="false" outlineLevel="0" collapsed="false">
      <c r="E46" s="23" t="n">
        <f aca="false">INDEX(Data!$A$4:$A$74,16)</f>
        <v>0.00809844084058701</v>
      </c>
      <c r="F46" s="17" t="n">
        <f aca="false">INDEX(Data!$B$4:$B$74,16)</f>
        <v>0.586602104365434</v>
      </c>
      <c r="G46" s="31" t="n">
        <f aca="false">INDEX(Data!$C$4:$C$74,16)</f>
        <v>0.957540588775986</v>
      </c>
      <c r="H46" s="23" t="n">
        <f aca="false">(E47-E45)/2</f>
        <v>0.00121445486836738</v>
      </c>
      <c r="I46" s="20" t="n">
        <f aca="false">$B$6*(0.75*(E46+F46))^0.25</f>
        <v>4717.00376002962</v>
      </c>
      <c r="J46" s="20" t="n">
        <f aca="false">$B$6*(0.75*(E46+2/3))^0.25</f>
        <v>4868.32757039654</v>
      </c>
      <c r="K46" s="23" t="n">
        <f aca="false">2*hP*cL^2/($B$7*0.000000001)^5/(EXP(hP*cL/($B$7*0.000000001*kB*I46))-1)</f>
        <v>8564239063444.03</v>
      </c>
      <c r="S46" s="22" t="n">
        <v>58.518</v>
      </c>
      <c r="T46" s="23" t="n">
        <f aca="false">2*PI()*SUMPRODUCT(2*hP*cL^2/(S46*0.000000001)^5/(EXP(hP*cL/(S46*0.000000001*kB*$I$31:$I$101))-1),$G$31:$G$101,$H$31:$H$101)</f>
        <v>887521.144004407</v>
      </c>
      <c r="U46" s="23" t="n">
        <f aca="false">(S47-S45)/2*0.000000001</f>
        <v>4.1915E-009</v>
      </c>
      <c r="V46" s="23" t="n">
        <f aca="false">PI()*2*hP*cL^2/(S46*0.000000001)^5/(EXP(hP*cL/(S46*0.000000001*kB*$B$6))-1)</f>
        <v>172.602018356998</v>
      </c>
    </row>
    <row r="47" customFormat="false" ht="15" hidden="false" customHeight="false" outlineLevel="0" collapsed="false">
      <c r="E47" s="23" t="n">
        <f aca="false">INDEX(Data!$A$4:$A$74,17)</f>
        <v>0.00940345020819929</v>
      </c>
      <c r="F47" s="17" t="n">
        <f aca="false">INDEX(Data!$B$4:$B$74,17)</f>
        <v>0.58771191687879</v>
      </c>
      <c r="G47" s="31" t="n">
        <f aca="false">INDEX(Data!$C$4:$C$74,17)</f>
        <v>0.95209734532043</v>
      </c>
      <c r="H47" s="23" t="n">
        <f aca="false">(E48-E46)/2</f>
        <v>0.00141015611641735</v>
      </c>
      <c r="I47" s="20" t="n">
        <f aca="false">$B$6*(0.75*(E47+F47))^0.25</f>
        <v>4721.78491423875</v>
      </c>
      <c r="J47" s="20" t="n">
        <f aca="false">$B$6*(0.75*(E47+2/3))^0.25</f>
        <v>4870.67972616482</v>
      </c>
      <c r="K47" s="23" t="n">
        <f aca="false">2*hP*cL^2/($B$7*0.000000001)^5/(EXP(hP*cL/($B$7*0.000000001*kB*I47))-1)</f>
        <v>8617424828920.72</v>
      </c>
      <c r="S47" s="22" t="n">
        <v>62.859</v>
      </c>
      <c r="T47" s="23" t="n">
        <f aca="false">2*PI()*SUMPRODUCT(2*hP*cL^2/(S47*0.000000001)^5/(EXP(hP*cL/(S47*0.000000001*kB*$I$31:$I$101))-1),$G$31:$G$101,$H$31:$H$101)</f>
        <v>4478844.77418114</v>
      </c>
      <c r="U47" s="23" t="n">
        <f aca="false">(S48-S46)/2*0.000000001</f>
        <v>4.5025E-009</v>
      </c>
      <c r="V47" s="23" t="n">
        <f aca="false">PI()*2*hP*cL^2/(S47*0.000000001)^5/(EXP(hP*cL/(S47*0.000000001*kB*$B$6))-1)</f>
        <v>2286.78144645023</v>
      </c>
    </row>
    <row r="48" customFormat="false" ht="15" hidden="false" customHeight="false" outlineLevel="0" collapsed="false">
      <c r="E48" s="23" t="n">
        <f aca="false">INDEX(Data!$A$4:$A$74,18)</f>
        <v>0.0109187530734217</v>
      </c>
      <c r="F48" s="17" t="n">
        <f aca="false">INDEX(Data!$B$4:$B$74,18)</f>
        <v>0.58894089452217</v>
      </c>
      <c r="G48" s="31" t="n">
        <f aca="false">INDEX(Data!$C$4:$C$74,18)</f>
        <v>0.946001226997373</v>
      </c>
      <c r="H48" s="23" t="n">
        <f aca="false">(E49-E47)/2</f>
        <v>0.00163739330663025</v>
      </c>
      <c r="I48" s="20" t="n">
        <f aca="false">$B$6*(0.75*(E48+F48))^0.25</f>
        <v>4727.20079794397</v>
      </c>
      <c r="J48" s="20" t="n">
        <f aca="false">$B$6*(0.75*(E48+2/3))^0.25</f>
        <v>4873.40664733924</v>
      </c>
      <c r="K48" s="23" t="n">
        <f aca="false">2*hP*cL^2/($B$7*0.000000001)^5/(EXP(hP*cL/($B$7*0.000000001*kB*I48))-1)</f>
        <v>8677940067877.95</v>
      </c>
      <c r="S48" s="22" t="n">
        <v>67.523</v>
      </c>
      <c r="T48" s="23" t="n">
        <f aca="false">2*PI()*SUMPRODUCT(2*hP*cL^2/(S48*0.000000001)^5/(EXP(hP*cL/(S48*0.000000001*kB*$I$31:$I$101))-1),$G$31:$G$101,$H$31:$H$101)</f>
        <v>20272038.0423622</v>
      </c>
      <c r="U48" s="23" t="n">
        <f aca="false">(S49-S47)/2*0.000000001</f>
        <v>4.837E-009</v>
      </c>
      <c r="V48" s="23" t="n">
        <f aca="false">PI()*2*hP*cL^2/(S48*0.000000001)^5/(EXP(hP*cL/(S48*0.000000001*kB*$B$6))-1)</f>
        <v>24738.6210421317</v>
      </c>
    </row>
    <row r="49" customFormat="false" ht="15" hidden="false" customHeight="false" outlineLevel="0" collapsed="false">
      <c r="E49" s="23" t="n">
        <f aca="false">INDEX(Data!$A$4:$A$74,19)</f>
        <v>0.0126782368214598</v>
      </c>
      <c r="F49" s="17" t="n">
        <f aca="false">INDEX(Data!$B$4:$B$74,19)</f>
        <v>0.590299316202863</v>
      </c>
      <c r="G49" s="31" t="n">
        <f aca="false">INDEX(Data!$C$4:$C$74,19)</f>
        <v>0.939182770821766</v>
      </c>
      <c r="H49" s="23" t="n">
        <f aca="false">(E50-E48)/2</f>
        <v>0.00190124824434975</v>
      </c>
      <c r="I49" s="20" t="n">
        <f aca="false">$B$6*(0.75*(E49+F49))^0.25</f>
        <v>4733.331533474</v>
      </c>
      <c r="J49" s="20" t="n">
        <f aca="false">$B$6*(0.75*(E49+2/3))^0.25</f>
        <v>4876.5672609233</v>
      </c>
      <c r="K49" s="23" t="n">
        <f aca="false">2*hP*cL^2/($B$7*0.000000001)^5/(EXP(hP*cL/($B$7*0.000000001*kB*I49))-1)</f>
        <v>8746787924244.2</v>
      </c>
      <c r="S49" s="22" t="n">
        <v>72.533</v>
      </c>
      <c r="T49" s="23" t="n">
        <f aca="false">2*PI()*SUMPRODUCT(2*hP*cL^2/(S49*0.000000001)^5/(EXP(hP*cL/(S49*0.000000001*kB*$I$31:$I$101))-1),$G$31:$G$101,$H$31:$H$101)</f>
        <v>82764226.5140739</v>
      </c>
      <c r="U49" s="23" t="n">
        <f aca="false">(S50-S48)/2*0.000000001</f>
        <v>5.19600000000001E-009</v>
      </c>
      <c r="V49" s="23" t="n">
        <f aca="false">PI()*2*hP*cL^2/(S49*0.000000001)^5/(EXP(hP*cL/(S49*0.000000001*kB*$B$6))-1)</f>
        <v>221487.379720073</v>
      </c>
    </row>
    <row r="50" customFormat="false" ht="15" hidden="false" customHeight="false" outlineLevel="0" collapsed="false">
      <c r="E50" s="23" t="n">
        <f aca="false">INDEX(Data!$A$4:$A$74,20)</f>
        <v>0.0147212495621212</v>
      </c>
      <c r="F50" s="17" t="n">
        <f aca="false">INDEX(Data!$B$4:$B$74,20)</f>
        <v>0.591797863318852</v>
      </c>
      <c r="G50" s="31" t="n">
        <f aca="false">INDEX(Data!$C$4:$C$74,20)</f>
        <v>0.931566943185061</v>
      </c>
      <c r="H50" s="23" t="n">
        <f aca="false">(E51-E49)/2</f>
        <v>0.00220762163373083</v>
      </c>
      <c r="I50" s="20" t="n">
        <f aca="false">$B$6*(0.75*(E50+F50))^0.25</f>
        <v>4740.26652664715</v>
      </c>
      <c r="J50" s="20" t="n">
        <f aca="false">$B$6*(0.75*(E50+2/3))^0.25</f>
        <v>4880.22949237464</v>
      </c>
      <c r="K50" s="23" t="n">
        <f aca="false">2*hP*cL^2/($B$7*0.000000001)^5/(EXP(hP*cL/($B$7*0.000000001*kB*I50))-1)</f>
        <v>8825110252110.8</v>
      </c>
      <c r="S50" s="22" t="n">
        <v>77.915</v>
      </c>
      <c r="T50" s="23" t="n">
        <f aca="false">2*PI()*SUMPRODUCT(2*hP*cL^2/(S50*0.000000001)^5/(EXP(hP*cL/(S50*0.000000001*kB*$I$31:$I$101))-1),$G$31:$G$101,$H$31:$H$101)</f>
        <v>306557393.298656</v>
      </c>
      <c r="U50" s="23" t="n">
        <f aca="false">(S51-S49)/2*0.000000001</f>
        <v>5.5815E-009</v>
      </c>
      <c r="V50" s="23" t="n">
        <f aca="false">PI()*2*hP*cL^2/(S50*0.000000001)^5/(EXP(hP*cL/(S50*0.000000001*kB*$B$6))-1)</f>
        <v>1662929.14082189</v>
      </c>
    </row>
    <row r="51" customFormat="false" ht="15" hidden="false" customHeight="false" outlineLevel="0" collapsed="false">
      <c r="E51" s="23" t="n">
        <f aca="false">INDEX(Data!$A$4:$A$74,21)</f>
        <v>0.0170934800889215</v>
      </c>
      <c r="F51" s="17" t="n">
        <f aca="false">INDEX(Data!$B$4:$B$74,21)</f>
        <v>0.59344752968076</v>
      </c>
      <c r="G51" s="31" t="n">
        <f aca="false">INDEX(Data!$C$4:$C$74,21)</f>
        <v>0.923073101078901</v>
      </c>
      <c r="H51" s="23" t="n">
        <f aca="false">(E52-E50)/2</f>
        <v>0.00256336503778506</v>
      </c>
      <c r="I51" s="20" t="n">
        <f aca="false">$B$6*(0.75*(E51+F51))^0.25</f>
        <v>4748.10537185658</v>
      </c>
      <c r="J51" s="20" t="n">
        <f aca="false">$B$6*(0.75*(E51+2/3))^0.25</f>
        <v>4884.47154940548</v>
      </c>
      <c r="K51" s="23" t="n">
        <f aca="false">2*hP*cL^2/($B$7*0.000000001)^5/(EXP(hP*cL/($B$7*0.000000001*kB*I51))-1)</f>
        <v>8914207685206.81</v>
      </c>
      <c r="S51" s="22" t="n">
        <v>83.696</v>
      </c>
      <c r="T51" s="23" t="n">
        <f aca="false">2*PI()*SUMPRODUCT(2*hP*cL^2/(S51*0.000000001)^5/(EXP(hP*cL/(S51*0.000000001*kB*$I$31:$I$101))-1),$G$31:$G$101,$H$31:$H$101)</f>
        <v>1035572059.74095</v>
      </c>
      <c r="U51" s="23" t="n">
        <f aca="false">(S52-S50)/2*0.000000001</f>
        <v>5.9955E-009</v>
      </c>
      <c r="V51" s="23" t="n">
        <f aca="false">PI()*2*hP*cL^2/(S51*0.000000001)^5/(EXP(hP*cL/(S51*0.000000001*kB*$B$6))-1)</f>
        <v>10595963.0790533</v>
      </c>
    </row>
    <row r="52" customFormat="false" ht="15" hidden="false" customHeight="false" outlineLevel="0" collapsed="false">
      <c r="E52" s="23" t="n">
        <f aca="false">INDEX(Data!$A$4:$A$74,22)</f>
        <v>0.0198479796376913</v>
      </c>
      <c r="F52" s="17" t="n">
        <f aca="false">INDEX(Data!$B$4:$B$74,22)</f>
        <v>0.595259503394157</v>
      </c>
      <c r="G52" s="31" t="n">
        <f aca="false">INDEX(Data!$C$4:$C$74,22)</f>
        <v>0.913615069316814</v>
      </c>
      <c r="H52" s="23" t="n">
        <f aca="false">(E53-E51)/2</f>
        <v>0.00297643410290117</v>
      </c>
      <c r="I52" s="20" t="n">
        <f aca="false">$B$6*(0.75*(E52+F52))^0.25</f>
        <v>4756.95880944098</v>
      </c>
      <c r="J52" s="20" t="n">
        <f aca="false">$B$6*(0.75*(E52+2/3))^0.25</f>
        <v>4889.38335853059</v>
      </c>
      <c r="K52" s="23" t="n">
        <f aca="false">2*hP*cL^2/($B$7*0.000000001)^5/(EXP(hP*cL/($B$7*0.000000001*kB*I52))-1)</f>
        <v>9015562892819.57</v>
      </c>
      <c r="S52" s="22" t="n">
        <v>89.906</v>
      </c>
      <c r="T52" s="23" t="n">
        <f aca="false">2*PI()*SUMPRODUCT(2*hP*cL^2/(S52*0.000000001)^5/(EXP(hP*cL/(S52*0.000000001*kB*$I$31:$I$101))-1),$G$31:$G$101,$H$31:$H$101)</f>
        <v>3206942082.09439</v>
      </c>
      <c r="U52" s="23" t="n">
        <f aca="false">(S53-S51)/2*0.000000001</f>
        <v>6.4405E-009</v>
      </c>
      <c r="V52" s="23" t="n">
        <f aca="false">PI()*2*hP*cL^2/(S52*0.000000001)^5/(EXP(hP*cL/(S52*0.000000001*kB*$B$6))-1)</f>
        <v>57959977.2251646</v>
      </c>
    </row>
    <row r="53" customFormat="false" ht="15" hidden="false" customHeight="false" outlineLevel="0" collapsed="false">
      <c r="E53" s="23" t="n">
        <f aca="false">INDEX(Data!$A$4:$A$74,23)</f>
        <v>0.0230463482947238</v>
      </c>
      <c r="F53" s="17" t="n">
        <f aca="false">INDEX(Data!$B$4:$B$74,23)</f>
        <v>0.597245016583342</v>
      </c>
      <c r="G53" s="31" t="n">
        <f aca="false">INDEX(Data!$C$4:$C$74,23)</f>
        <v>0.903101366673764</v>
      </c>
      <c r="H53" s="23" t="n">
        <f aca="false">(E54-E52)/2</f>
        <v>0.00345606647446828</v>
      </c>
      <c r="I53" s="20" t="n">
        <f aca="false">$B$6*(0.75*(E53+F53))^0.25</f>
        <v>4766.94973025255</v>
      </c>
      <c r="J53" s="20" t="n">
        <f aca="false">$B$6*(0.75*(E53+2/3))^0.25</f>
        <v>4895.06816213723</v>
      </c>
      <c r="K53" s="23" t="n">
        <f aca="false">2*hP*cL^2/($B$7*0.000000001)^5/(EXP(hP*cL/($B$7*0.000000001*kB*I53))-1)</f>
        <v>9130867590226.74</v>
      </c>
      <c r="S53" s="22" t="n">
        <v>96.577</v>
      </c>
      <c r="T53" s="23" t="n">
        <f aca="false">2*PI()*SUMPRODUCT(2*hP*cL^2/(S53*0.000000001)^5/(EXP(hP*cL/(S53*0.000000001*kB*$I$31:$I$101))-1),$G$31:$G$101,$H$31:$H$101)</f>
        <v>9148098150.45453</v>
      </c>
      <c r="U53" s="23" t="n">
        <f aca="false">(S54-S52)/2*0.000000001</f>
        <v>6.9185E-009</v>
      </c>
      <c r="V53" s="23" t="n">
        <f aca="false">PI()*2*hP*cL^2/(S53*0.000000001)^5/(EXP(hP*cL/(S53*0.000000001*kB*$B$6))-1)</f>
        <v>275060663.509607</v>
      </c>
    </row>
    <row r="54" customFormat="false" ht="15" hidden="false" customHeight="false" outlineLevel="0" collapsed="false">
      <c r="E54" s="23" t="n">
        <f aca="false">INDEX(Data!$A$4:$A$74,24)</f>
        <v>0.0267601125866279</v>
      </c>
      <c r="F54" s="17" t="n">
        <f aca="false">INDEX(Data!$B$4:$B$74,24)</f>
        <v>0.599415158755064</v>
      </c>
      <c r="G54" s="31" t="n">
        <f aca="false">INDEX(Data!$C$4:$C$74,24)</f>
        <v>0.891435619641988</v>
      </c>
      <c r="H54" s="23" t="n">
        <f aca="false">(E55-E53)/2</f>
        <v>0.0040129883824074</v>
      </c>
      <c r="I54" s="20" t="n">
        <f aca="false">$B$6*(0.75*(E54+F54))^0.25</f>
        <v>4778.21422007525</v>
      </c>
      <c r="J54" s="20" t="n">
        <f aca="false">$B$6*(0.75*(E54+2/3))^0.25</f>
        <v>4901.64428028643</v>
      </c>
      <c r="K54" s="23" t="n">
        <f aca="false">2*hP*cL^2/($B$7*0.000000001)^5/(EXP(hP*cL/($B$7*0.000000001*kB*I54))-1)</f>
        <v>9262053980226.12</v>
      </c>
      <c r="S54" s="22" t="n">
        <v>103.743</v>
      </c>
      <c r="T54" s="23" t="n">
        <f aca="false">2*PI()*SUMPRODUCT(2*hP*cL^2/(S54*0.000000001)^5/(EXP(hP*cL/(S54*0.000000001*kB*$I$31:$I$101))-1),$G$31:$G$101,$H$31:$H$101)</f>
        <v>24145781305.8027</v>
      </c>
      <c r="U54" s="23" t="n">
        <f aca="false">(S55-S53)/2*0.000000001</f>
        <v>7.4315E-009</v>
      </c>
      <c r="V54" s="23" t="n">
        <f aca="false">PI()*2*hP*cL^2/(S54*0.000000001)^5/(EXP(hP*cL/(S54*0.000000001*kB*$B$6))-1)</f>
        <v>1143612527.71295</v>
      </c>
    </row>
    <row r="55" customFormat="false" ht="15" hidden="false" customHeight="false" outlineLevel="0" collapsed="false">
      <c r="E55" s="23" t="n">
        <f aca="false">INDEX(Data!$A$4:$A$74,25)</f>
        <v>0.0310723250595386</v>
      </c>
      <c r="F55" s="17" t="n">
        <f aca="false">INDEX(Data!$B$4:$B$74,25)</f>
        <v>0.601780649680794</v>
      </c>
      <c r="G55" s="31" t="n">
        <f aca="false">INDEX(Data!$C$4:$C$74,25)</f>
        <v>0.878517208702097</v>
      </c>
      <c r="H55" s="23" t="n">
        <f aca="false">(E56-E54)/2</f>
        <v>0.0046596545165742</v>
      </c>
      <c r="I55" s="20" t="n">
        <f aca="false">$B$6*(0.75*(E55+F55))^0.25</f>
        <v>4790.9026339536</v>
      </c>
      <c r="J55" s="20" t="n">
        <f aca="false">$B$6*(0.75*(E55+2/3))^0.25</f>
        <v>4909.24703615796</v>
      </c>
      <c r="K55" s="23" t="n">
        <f aca="false">2*hP*cL^2/($B$7*0.000000001)^5/(EXP(hP*cL/($B$7*0.000000001*kB*I55))-1)</f>
        <v>9411331430466.46</v>
      </c>
      <c r="S55" s="22" t="n">
        <v>111.44</v>
      </c>
      <c r="T55" s="23" t="n">
        <f aca="false">2*PI()*SUMPRODUCT(2*hP*cL^2/(S55*0.000000001)^5/(EXP(hP*cL/(S55*0.000000001*kB*$I$31:$I$101))-1),$G$31:$G$101,$H$31:$H$101)</f>
        <v>59215109928.4179</v>
      </c>
      <c r="U55" s="23" t="n">
        <f aca="false">(S56-S54)/2*0.000000001</f>
        <v>7.9825E-009</v>
      </c>
      <c r="V55" s="23" t="n">
        <f aca="false">PI()*2*hP*cL^2/(S55*0.000000001)^5/(EXP(hP*cL/(S55*0.000000001*kB*$B$6))-1)</f>
        <v>4203374605.98811</v>
      </c>
    </row>
    <row r="56" customFormat="false" ht="15" hidden="false" customHeight="false" outlineLevel="0" collapsed="false">
      <c r="E56" s="23" t="n">
        <f aca="false">INDEX(Data!$A$4:$A$74,26)</f>
        <v>0.0360794216197763</v>
      </c>
      <c r="F56" s="17" t="n">
        <f aca="false">INDEX(Data!$B$4:$B$74,26)</f>
        <v>0.604351567979417</v>
      </c>
      <c r="G56" s="31" t="n">
        <f aca="false">INDEX(Data!$C$4:$C$74,26)</f>
        <v>0.864242198439214</v>
      </c>
      <c r="H56" s="23" t="n">
        <f aca="false">(E57-E55)/2</f>
        <v>0.00541052655647237</v>
      </c>
      <c r="I56" s="20" t="n">
        <f aca="false">$B$6*(0.75*(E56+F56))^0.25</f>
        <v>4805.18068758967</v>
      </c>
      <c r="J56" s="20" t="n">
        <f aca="false">$B$6*(0.75*(E56+2/3))^0.25</f>
        <v>4918.03083658752</v>
      </c>
      <c r="K56" s="23" t="n">
        <f aca="false">2*hP*cL^2/($B$7*0.000000001)^5/(EXP(hP*cL/($B$7*0.000000001*kB*I56))-1)</f>
        <v>9581229341474.33</v>
      </c>
      <c r="S56" s="22" t="n">
        <v>119.708</v>
      </c>
      <c r="T56" s="23" t="n">
        <f aca="false">2*PI()*SUMPRODUCT(2*hP*cL^2/(S56*0.000000001)^5/(EXP(hP*cL/(S56*0.000000001*kB*$I$31:$I$101))-1),$G$31:$G$101,$H$31:$H$101)</f>
        <v>135480438821.401</v>
      </c>
      <c r="U56" s="23" t="n">
        <f aca="false">(S57-S55)/2*0.000000001</f>
        <v>8.575E-009</v>
      </c>
      <c r="V56" s="23" t="n">
        <f aca="false">PI()*2*hP*cL^2/(S56*0.000000001)^5/(EXP(hP*cL/(S56*0.000000001*kB*$B$6))-1)</f>
        <v>13776339330.0763</v>
      </c>
    </row>
    <row r="57" customFormat="false" ht="15" hidden="false" customHeight="false" outlineLevel="0" collapsed="false">
      <c r="E57" s="23" t="n">
        <f aca="false">INDEX(Data!$A$4:$A$74,27)</f>
        <v>0.0418933781724833</v>
      </c>
      <c r="F57" s="17" t="n">
        <f aca="false">INDEX(Data!$B$4:$B$74,27)</f>
        <v>0.607137032181322</v>
      </c>
      <c r="G57" s="31" t="n">
        <f aca="false">INDEX(Data!$C$4:$C$74,27)</f>
        <v>0.848504609182747</v>
      </c>
      <c r="H57" s="23" t="n">
        <f aca="false">(E58-E56)/2</f>
        <v>0.00628239658416026</v>
      </c>
      <c r="I57" s="20" t="n">
        <f aca="false">$B$6*(0.75*(E57+F57))^0.25</f>
        <v>4821.23054979749</v>
      </c>
      <c r="J57" s="20" t="n">
        <f aca="false">$B$6*(0.75*(E57+2/3))^0.25</f>
        <v>4928.17138905188</v>
      </c>
      <c r="K57" s="23" t="n">
        <f aca="false">2*hP*cL^2/($B$7*0.000000001)^5/(EXP(hP*cL/($B$7*0.000000001*kB*I57))-1)</f>
        <v>9774647334792.98</v>
      </c>
      <c r="S57" s="22" t="n">
        <v>128.59</v>
      </c>
      <c r="T57" s="23" t="n">
        <f aca="false">2*PI()*SUMPRODUCT(2*hP*cL^2/(S57*0.000000001)^5/(EXP(hP*cL/(S57*0.000000001*kB*$I$31:$I$101))-1),$G$31:$G$101,$H$31:$H$101)</f>
        <v>290286685444.806</v>
      </c>
      <c r="U57" s="23" t="n">
        <f aca="false">(S58-S56)/2*0.000000001</f>
        <v>9.2115E-009</v>
      </c>
      <c r="V57" s="23" t="n">
        <f aca="false">PI()*2*hP*cL^2/(S57*0.000000001)^5/(EXP(hP*cL/(S57*0.000000001*kB*$B$6))-1)</f>
        <v>40584169816.2289</v>
      </c>
    </row>
    <row r="58" customFormat="false" ht="15" hidden="false" customHeight="false" outlineLevel="0" collapsed="false">
      <c r="E58" s="23" t="n">
        <f aca="false">INDEX(Data!$A$4:$A$74,28)</f>
        <v>0.0486442147880968</v>
      </c>
      <c r="F58" s="17" t="n">
        <f aca="false">INDEX(Data!$B$4:$B$74,28)</f>
        <v>0.610143233826245</v>
      </c>
      <c r="G58" s="31" t="n">
        <f aca="false">INDEX(Data!$C$4:$C$74,28)</f>
        <v>0.831198093639455</v>
      </c>
      <c r="H58" s="23" t="n">
        <f aca="false">(E59-E57)/2</f>
        <v>0.00729476261297605</v>
      </c>
      <c r="I58" s="20" t="n">
        <f aca="false">$B$6*(0.75*(E58+F58))^0.25</f>
        <v>4839.24898166427</v>
      </c>
      <c r="J58" s="20" t="n">
        <f aca="false">$B$6*(0.75*(E58+2/3))^0.25</f>
        <v>4939.86802329889</v>
      </c>
      <c r="K58" s="23" t="n">
        <f aca="false">2*hP*cL^2/($B$7*0.000000001)^5/(EXP(hP*cL/($B$7*0.000000001*kB*I58))-1)</f>
        <v>9994877951156.6</v>
      </c>
      <c r="S58" s="22" t="n">
        <v>138.131</v>
      </c>
      <c r="T58" s="23" t="n">
        <f aca="false">2*PI()*SUMPRODUCT(2*hP*cL^2/(S58*0.000000001)^5/(EXP(hP*cL/(S58*0.000000001*kB*$I$31:$I$101))-1),$G$31:$G$101,$H$31:$H$101)</f>
        <v>584508954297.728</v>
      </c>
      <c r="U58" s="23" t="n">
        <f aca="false">(S59-S57)/2*0.000000001</f>
        <v>9.895E-009</v>
      </c>
      <c r="V58" s="23" t="n">
        <f aca="false">PI()*2*hP*cL^2/(S58*0.000000001)^5/(EXP(hP*cL/(S58*0.000000001*kB*$B$6))-1)</f>
        <v>108251321988.799</v>
      </c>
    </row>
    <row r="59" customFormat="false" ht="15" hidden="false" customHeight="false" outlineLevel="0" collapsed="false">
      <c r="E59" s="23" t="n">
        <f aca="false">INDEX(Data!$A$4:$A$74,29)</f>
        <v>0.0564829033984354</v>
      </c>
      <c r="F59" s="17" t="n">
        <f aca="false">INDEX(Data!$B$4:$B$74,29)</f>
        <v>0.613377262589377</v>
      </c>
      <c r="G59" s="31" t="n">
        <f aca="false">INDEX(Data!$C$4:$C$74,29)</f>
        <v>0.812218086530342</v>
      </c>
      <c r="H59" s="23" t="n">
        <f aca="false">(E60-E58)/2</f>
        <v>0.00847026463019541</v>
      </c>
      <c r="I59" s="20" t="n">
        <f aca="false">$B$6*(0.75*(E59+F59))^0.25</f>
        <v>4859.45624949731</v>
      </c>
      <c r="J59" s="20" t="n">
        <f aca="false">$B$6*(0.75*(E59+2/3))^0.25</f>
        <v>4953.34606925561</v>
      </c>
      <c r="K59" s="23" t="n">
        <f aca="false">2*hP*cL^2/($B$7*0.000000001)^5/(EXP(hP*cL/($B$7*0.000000001*kB*I59))-1)</f>
        <v>10245771331467.3</v>
      </c>
      <c r="S59" s="22" t="n">
        <v>148.38</v>
      </c>
      <c r="T59" s="23" t="n">
        <f aca="false">2*PI()*SUMPRODUCT(2*hP*cL^2/(S59*0.000000001)^5/(EXP(hP*cL/(S59*0.000000001*kB*$I$31:$I$101))-1),$G$31:$G$101,$H$31:$H$101)</f>
        <v>1109703849105.53</v>
      </c>
      <c r="U59" s="23" t="n">
        <f aca="false">(S60-S58)/2*0.000000001</f>
        <v>1.0629E-008</v>
      </c>
      <c r="V59" s="23" t="n">
        <f aca="false">PI()*2*hP*cL^2/(S59*0.000000001)^5/(EXP(hP*cL/(S59*0.000000001*kB*$B$6))-1)</f>
        <v>263237371934.748</v>
      </c>
    </row>
    <row r="60" customFormat="false" ht="15" hidden="false" customHeight="false" outlineLevel="0" collapsed="false">
      <c r="E60" s="23" t="n">
        <f aca="false">INDEX(Data!$A$4:$A$74,30)</f>
        <v>0.0655847440484876</v>
      </c>
      <c r="F60" s="17" t="n">
        <f aca="false">INDEX(Data!$B$4:$B$74,30)</f>
        <v>0.616842988473331</v>
      </c>
      <c r="G60" s="31" t="n">
        <f aca="false">INDEX(Data!$C$4:$C$74,30)</f>
        <v>0.791464497559914</v>
      </c>
      <c r="H60" s="23" t="n">
        <f aca="false">(E61-E59)/2</f>
        <v>0.00983519090503606</v>
      </c>
      <c r="I60" s="20" t="n">
        <f aca="false">$B$6*(0.75*(E60+F60))^0.25</f>
        <v>4882.09026824236</v>
      </c>
      <c r="J60" s="20" t="n">
        <f aca="false">$B$6*(0.75*(E60+2/3))^0.25</f>
        <v>4968.85922275377</v>
      </c>
      <c r="K60" s="23" t="n">
        <f aca="false">2*hP*cL^2/($B$7*0.000000001)^5/(EXP(hP*cL/($B$7*0.000000001*kB*I60))-1)</f>
        <v>10531734246731.1</v>
      </c>
      <c r="S60" s="22" t="n">
        <v>159.389</v>
      </c>
      <c r="T60" s="23" t="n">
        <f aca="false">2*PI()*SUMPRODUCT(2*hP*cL^2/(S60*0.000000001)^5/(EXP(hP*cL/(S60*0.000000001*kB*$I$31:$I$101))-1),$G$31:$G$101,$H$31:$H$101)</f>
        <v>1992541467247.76</v>
      </c>
      <c r="U60" s="23" t="n">
        <f aca="false">(S61-S59)/2*0.000000001</f>
        <v>1.1418E-008</v>
      </c>
      <c r="V60" s="23" t="n">
        <f aca="false">PI()*2*hP*cL^2/(S60*0.000000001)^5/(EXP(hP*cL/(S60*0.000000001*kB*$B$6))-1)</f>
        <v>587296405375.02</v>
      </c>
    </row>
    <row r="61" customFormat="false" ht="15" hidden="false" customHeight="false" outlineLevel="0" collapsed="false">
      <c r="E61" s="23" t="n">
        <f aca="false">INDEX(Data!$A$4:$A$74,31)</f>
        <v>0.0761532852085076</v>
      </c>
      <c r="F61" s="17" t="n">
        <f aca="false">INDEX(Data!$B$4:$B$74,31)</f>
        <v>0.62054143628366</v>
      </c>
      <c r="G61" s="31" t="n">
        <f aca="false">INDEX(Data!$C$4:$C$74,31)</f>
        <v>0.768845016816333</v>
      </c>
      <c r="H61" s="23" t="n">
        <f aca="false">(E62-E60)/2</f>
        <v>0.0114200658847978</v>
      </c>
      <c r="I61" s="20" t="n">
        <f aca="false">$B$6*(0.75*(E61+F61))^0.25</f>
        <v>4907.40914964674</v>
      </c>
      <c r="J61" s="20" t="n">
        <f aca="false">$B$6*(0.75*(E61+2/3))^0.25</f>
        <v>4986.69180723095</v>
      </c>
      <c r="K61" s="23" t="n">
        <f aca="false">2*hP*cL^2/($B$7*0.000000001)^5/(EXP(hP*cL/($B$7*0.000000001*kB*I61))-1)</f>
        <v>10857845159030.2</v>
      </c>
      <c r="S61" s="22" t="n">
        <v>171.216</v>
      </c>
      <c r="T61" s="23" t="n">
        <f aca="false">2*PI()*SUMPRODUCT(2*hP*cL^2/(S61*0.000000001)^5/(EXP(hP*cL/(S61*0.000000001*kB*$I$31:$I$101))-1),$G$31:$G$101,$H$31:$H$101)</f>
        <v>3393781222482.73</v>
      </c>
      <c r="U61" s="23" t="n">
        <f aca="false">(S62-S60)/2*0.000000001</f>
        <v>1.2265E-008</v>
      </c>
      <c r="V61" s="23" t="n">
        <f aca="false">PI()*2*hP*cL^2/(S61*0.000000001)^5/(EXP(hP*cL/(S61*0.000000001*kB*$B$6))-1)</f>
        <v>1209455879393.71</v>
      </c>
    </row>
    <row r="62" customFormat="false" ht="15" hidden="false" customHeight="false" outlineLevel="0" collapsed="false">
      <c r="E62" s="23" t="n">
        <f aca="false">INDEX(Data!$A$4:$A$74,32)</f>
        <v>0.0884248758180833</v>
      </c>
      <c r="F62" s="17" t="n">
        <f aca="false">INDEX(Data!$B$4:$B$74,32)</f>
        <v>0.624470347888569</v>
      </c>
      <c r="G62" s="31" t="n">
        <f aca="false">INDEX(Data!$C$4:$C$74,32)</f>
        <v>0.744279095168773</v>
      </c>
      <c r="H62" s="23" t="n">
        <f aca="false">(E63-E61)/2</f>
        <v>0.0132603328265182</v>
      </c>
      <c r="I62" s="20" t="n">
        <f aca="false">$B$6*(0.75*(E62+F62))^0.25</f>
        <v>4935.69215633088</v>
      </c>
      <c r="J62" s="20" t="n">
        <f aca="false">$B$6*(0.75*(E62+2/3))^0.25</f>
        <v>5007.16081370897</v>
      </c>
      <c r="K62" s="23" t="n">
        <f aca="false">2*hP*cL^2/($B$7*0.000000001)^5/(EXP(hP*cL/($B$7*0.000000001*kB*I62))-1)</f>
        <v>11229968421224.7</v>
      </c>
      <c r="S62" s="22" t="n">
        <v>183.919</v>
      </c>
      <c r="T62" s="23" t="n">
        <f aca="false">2*PI()*SUMPRODUCT(2*hP*cL^2/(S62*0.000000001)^5/(EXP(hP*cL/(S62*0.000000001*kB*$I$31:$I$101))-1),$G$31:$G$101,$H$31:$H$101)</f>
        <v>5497513386508.33</v>
      </c>
      <c r="U62" s="23" t="n">
        <f aca="false">(S63-S61)/2*0.000000001</f>
        <v>1.31745E-008</v>
      </c>
      <c r="V62" s="23" t="n">
        <f aca="false">PI()*2*hP*cL^2/(S62*0.000000001)^5/(EXP(hP*cL/(S62*0.000000001*kB*$B$6))-1)</f>
        <v>2311440710304.15</v>
      </c>
    </row>
    <row r="63" customFormat="false" ht="15" hidden="false" customHeight="false" outlineLevel="0" collapsed="false">
      <c r="E63" s="23" t="n">
        <f aca="false">INDEX(Data!$A$4:$A$74,33)</f>
        <v>0.102673950861544</v>
      </c>
      <c r="F63" s="17" t="n">
        <f aca="false">INDEX(Data!$B$4:$B$74,33)</f>
        <v>0.628623608127862</v>
      </c>
      <c r="G63" s="31" t="n">
        <f aca="false">INDEX(Data!$C$4:$C$74,33)</f>
        <v>0.717702648139242</v>
      </c>
      <c r="H63" s="23" t="n">
        <f aca="false">(E64-E62)/2</f>
        <v>0.0153971464301364</v>
      </c>
      <c r="I63" s="20" t="n">
        <f aca="false">$B$6*(0.75*(E63+F63))^0.25</f>
        <v>4967.24028701626</v>
      </c>
      <c r="J63" s="20" t="n">
        <f aca="false">$B$6*(0.75*(E63+2/3))^0.25</f>
        <v>5030.61757462076</v>
      </c>
      <c r="K63" s="23" t="n">
        <f aca="false">2*hP*cL^2/($B$7*0.000000001)^5/(EXP(hP*cL/($B$7*0.000000001*kB*I63))-1)</f>
        <v>11654885128878.2</v>
      </c>
      <c r="S63" s="22" t="n">
        <v>197.565</v>
      </c>
      <c r="T63" s="23" t="n">
        <f aca="false">2*PI()*SUMPRODUCT(2*hP*cL^2/(S63*0.000000001)^5/(EXP(hP*cL/(S63*0.000000001*kB*$I$31:$I$101))-1),$G$31:$G$101,$H$31:$H$101)</f>
        <v>8491745566599.15</v>
      </c>
      <c r="U63" s="23" t="n">
        <f aca="false">(S64-S62)/2*0.000000001</f>
        <v>1.41525E-008</v>
      </c>
      <c r="V63" s="23" t="n">
        <f aca="false">PI()*2*hP*cL^2/(S63*0.000000001)^5/(EXP(hP*cL/(S63*0.000000001*kB*$B$6))-1)</f>
        <v>4121187841911.82</v>
      </c>
    </row>
    <row r="64" customFormat="false" ht="15" hidden="false" customHeight="false" outlineLevel="0" collapsed="false">
      <c r="E64" s="23" t="n">
        <f aca="false">INDEX(Data!$A$4:$A$74,34)</f>
        <v>0.119219168678356</v>
      </c>
      <c r="F64" s="17" t="n">
        <f aca="false">INDEX(Data!$B$4:$B$74,34)</f>
        <v>0.632990663865204</v>
      </c>
      <c r="G64" s="31" t="n">
        <f aca="false">INDEX(Data!$C$4:$C$74,34)</f>
        <v>0.689073507275891</v>
      </c>
      <c r="H64" s="23" t="n">
        <f aca="false">(E65-E63)/2</f>
        <v>0.0178782931991692</v>
      </c>
      <c r="I64" s="20" t="n">
        <f aca="false">$B$6*(0.75*(E64+F64))^0.25</f>
        <v>5002.37666485136</v>
      </c>
      <c r="J64" s="20" t="n">
        <f aca="false">$B$6*(0.75*(E64+2/3))^0.25</f>
        <v>5057.44890206055</v>
      </c>
      <c r="K64" s="23" t="n">
        <f aca="false">2*hP*cL^2/($B$7*0.000000001)^5/(EXP(hP*cL/($B$7*0.000000001*kB*I64))-1)</f>
        <v>12140446086785.3</v>
      </c>
      <c r="S64" s="22" t="n">
        <v>212.224</v>
      </c>
      <c r="T64" s="23" t="n">
        <f aca="false">2*PI()*SUMPRODUCT(2*hP*cL^2/(S64*0.000000001)^5/(EXP(hP*cL/(S64*0.000000001*kB*$I$31:$I$101))-1),$G$31:$G$101,$H$31:$H$101)</f>
        <v>12537582847949.9</v>
      </c>
      <c r="U64" s="23" t="n">
        <f aca="false">(S65-S63)/2*0.000000001</f>
        <v>1.52025E-008</v>
      </c>
      <c r="V64" s="23" t="n">
        <f aca="false">PI()*2*hP*cL^2/(S64*0.000000001)^5/(EXP(hP*cL/(S64*0.000000001*kB*$B$6))-1)</f>
        <v>6887938297591.44</v>
      </c>
    </row>
    <row r="65" customFormat="false" ht="15" hidden="false" customHeight="false" outlineLevel="0" collapsed="false">
      <c r="E65" s="23" t="n">
        <f aca="false">INDEX(Data!$A$4:$A$74,35)</f>
        <v>0.138430537259882</v>
      </c>
      <c r="F65" s="17" t="n">
        <f aca="false">INDEX(Data!$B$4:$B$74,35)</f>
        <v>0.637555960560158</v>
      </c>
      <c r="G65" s="31" t="n">
        <f aca="false">INDEX(Data!$C$4:$C$74,35)</f>
        <v>0.658377604891228</v>
      </c>
      <c r="H65" s="23" t="n">
        <f aca="false">(E66-E64)/2</f>
        <v>0.0207592601113314</v>
      </c>
      <c r="I65" s="20" t="n">
        <f aca="false">$B$6*(0.75*(E65+F65))^0.25</f>
        <v>5041.44669287679</v>
      </c>
      <c r="J65" s="20" t="n">
        <f aca="false">$B$6*(0.75*(E65+2/3))^0.25</f>
        <v>5088.07750152708</v>
      </c>
      <c r="K65" s="23" t="n">
        <f aca="false">2*hP*cL^2/($B$7*0.000000001)^5/(EXP(hP*cL/($B$7*0.000000001*kB*I65))-1)</f>
        <v>12695750060644.3</v>
      </c>
      <c r="S65" s="22" t="n">
        <v>227.97</v>
      </c>
      <c r="T65" s="23" t="n">
        <f aca="false">2*PI()*SUMPRODUCT(2*hP*cL^2/(S65*0.000000001)^5/(EXP(hP*cL/(S65*0.000000001*kB*$I$31:$I$101))-1),$G$31:$G$101,$H$31:$H$101)</f>
        <v>17733172516323.9</v>
      </c>
      <c r="U65" s="23" t="n">
        <f aca="false">(S66-S64)/2*0.000000001</f>
        <v>1.63305E-008</v>
      </c>
      <c r="V65" s="23" t="n">
        <f aca="false">PI()*2*hP*cL^2/(S65*0.000000001)^5/(EXP(hP*cL/(S65*0.000000001*kB*$B$6))-1)</f>
        <v>10839454528131.5</v>
      </c>
    </row>
    <row r="66" customFormat="false" ht="15" hidden="false" customHeight="false" outlineLevel="0" collapsed="false">
      <c r="E66" s="23" t="n">
        <f aca="false">INDEX(Data!$A$4:$A$74,36)</f>
        <v>0.160737688901019</v>
      </c>
      <c r="F66" s="17" t="n">
        <f aca="false">INDEX(Data!$B$4:$B$74,36)</f>
        <v>0.642298428241314</v>
      </c>
      <c r="G66" s="31" t="n">
        <f aca="false">INDEX(Data!$C$4:$C$74,36)</f>
        <v>0.625635822348224</v>
      </c>
      <c r="H66" s="23" t="n">
        <f aca="false">(E67-E65)/2</f>
        <v>0.0241044754982508</v>
      </c>
      <c r="I66" s="20" t="n">
        <f aca="false">$B$6*(0.75*(E66+F66))^0.25</f>
        <v>5084.81794107236</v>
      </c>
      <c r="J66" s="20" t="n">
        <f aca="false">$B$6*(0.75*(E66+2/3))^0.25</f>
        <v>5122.96146309445</v>
      </c>
      <c r="K66" s="23" t="n">
        <f aca="false">2*hP*cL^2/($B$7*0.000000001)^5/(EXP(hP*cL/($B$7*0.000000001*kB*I66))-1)</f>
        <v>13331350615269.4</v>
      </c>
      <c r="S66" s="22" t="n">
        <v>244.885</v>
      </c>
      <c r="T66" s="23" t="n">
        <f aca="false">2*PI()*SUMPRODUCT(2*hP*cL^2/(S66*0.000000001)^5/(EXP(hP*cL/(S66*0.000000001*kB*$I$31:$I$101))-1),$G$31:$G$101,$H$31:$H$101)</f>
        <v>24080108427770.4</v>
      </c>
      <c r="U66" s="23" t="n">
        <f aca="false">(S67-S65)/2*0.000000001</f>
        <v>1.75425E-008</v>
      </c>
      <c r="V66" s="23" t="n">
        <f aca="false">PI()*2*hP*cL^2/(S66*0.000000001)^5/(EXP(hP*cL/(S66*0.000000001*kB*$B$6))-1)</f>
        <v>16128763723891.1</v>
      </c>
    </row>
    <row r="67" customFormat="false" ht="15" hidden="false" customHeight="false" outlineLevel="0" collapsed="false">
      <c r="E67" s="23" t="n">
        <f aca="false">INDEX(Data!$A$4:$A$74,37)</f>
        <v>0.186639488256384</v>
      </c>
      <c r="F67" s="17" t="n">
        <f aca="false">INDEX(Data!$B$4:$B$74,37)</f>
        <v>0.647191056996101</v>
      </c>
      <c r="G67" s="31" t="n">
        <f aca="false">INDEX(Data!$C$4:$C$74,37)</f>
        <v>0.590911354884235</v>
      </c>
      <c r="H67" s="23" t="n">
        <f aca="false">(E68-E66)/2</f>
        <v>0.0279887498846174</v>
      </c>
      <c r="I67" s="20" t="n">
        <f aca="false">$B$6*(0.75*(E67+F67))^0.25</f>
        <v>5132.87973068102</v>
      </c>
      <c r="J67" s="20" t="n">
        <f aca="false">$B$6*(0.75*(E67+2/3))^0.25</f>
        <v>5162.59263887711</v>
      </c>
      <c r="K67" s="23" t="n">
        <f aca="false">2*hP*cL^2/($B$7*0.000000001)^5/(EXP(hP*cL/($B$7*0.000000001*kB*I67))-1)</f>
        <v>14059494818691.3</v>
      </c>
      <c r="S67" s="22" t="n">
        <v>263.055</v>
      </c>
      <c r="T67" s="23" t="n">
        <f aca="false">2*PI()*SUMPRODUCT(2*hP*cL^2/(S67*0.000000001)^5/(EXP(hP*cL/(S67*0.000000001*kB*$I$31:$I$101))-1),$G$31:$G$101,$H$31:$H$101)</f>
        <v>31456451546858.3</v>
      </c>
      <c r="U67" s="23" t="n">
        <f aca="false">(S68-S66)/2*0.000000001</f>
        <v>1.8844E-008</v>
      </c>
      <c r="V67" s="23" t="n">
        <f aca="false">PI()*2*hP*cL^2/(S67*0.000000001)^5/(EXP(hP*cL/(S67*0.000000001*kB*$B$6))-1)</f>
        <v>22779584449149.2</v>
      </c>
    </row>
    <row r="68" customFormat="false" ht="15" hidden="false" customHeight="false" outlineLevel="0" collapsed="false">
      <c r="E68" s="23" t="n">
        <f aca="false">INDEX(Data!$A$4:$A$74,38)</f>
        <v>0.216715188670254</v>
      </c>
      <c r="F68" s="17" t="n">
        <f aca="false">INDEX(Data!$B$4:$B$74,38)</f>
        <v>0.652200610629809</v>
      </c>
      <c r="G68" s="31" t="n">
        <f aca="false">INDEX(Data!$C$4:$C$74,38)</f>
        <v>0.554317343579971</v>
      </c>
      <c r="H68" s="23" t="n">
        <f aca="false">(E69-E67)/2</f>
        <v>0.0324989490088894</v>
      </c>
      <c r="I68" s="20" t="n">
        <f aca="false">$B$6*(0.75*(E68+F68))^0.25</f>
        <v>5186.04238344752</v>
      </c>
      <c r="J68" s="20" t="n">
        <f aca="false">$B$6*(0.75*(E68+2/3))^0.25</f>
        <v>5207.49374446086</v>
      </c>
      <c r="K68" s="23" t="n">
        <f aca="false">2*hP*cL^2/($B$7*0.000000001)^5/(EXP(hP*cL/($B$7*0.000000001*kB*I68))-1)</f>
        <v>14894396838539.8</v>
      </c>
      <c r="S68" s="22" t="n">
        <v>282.573</v>
      </c>
      <c r="T68" s="23" t="n">
        <f aca="false">2*PI()*SUMPRODUCT(2*hP*cL^2/(S68*0.000000001)^5/(EXP(hP*cL/(S68*0.000000001*kB*$I$31:$I$101))-1),$G$31:$G$101,$H$31:$H$101)</f>
        <v>39608523683746.8</v>
      </c>
      <c r="U68" s="23" t="n">
        <f aca="false">(S69-S67)/2*0.000000001</f>
        <v>2.02415E-008</v>
      </c>
      <c r="V68" s="23" t="n">
        <f aca="false">PI()*2*hP*cL^2/(S68*0.000000001)^5/(EXP(hP*cL/(S68*0.000000001*kB*$B$6))-1)</f>
        <v>30648695754574.9</v>
      </c>
    </row>
    <row r="69" customFormat="false" ht="15" hidden="false" customHeight="false" outlineLevel="0" collapsed="false">
      <c r="E69" s="23" t="n">
        <f aca="false">INDEX(Data!$A$4:$A$74,39)</f>
        <v>0.251637386274163</v>
      </c>
      <c r="F69" s="17" t="n">
        <f aca="false">INDEX(Data!$B$4:$B$74,39)</f>
        <v>0.657287535272701</v>
      </c>
      <c r="G69" s="31" t="n">
        <f aca="false">INDEX(Data!$C$4:$C$74,39)</f>
        <v>0.516024395032891</v>
      </c>
      <c r="H69" s="23" t="n">
        <f aca="false">(E70-E68)/2</f>
        <v>0.0377359364400502</v>
      </c>
      <c r="I69" s="20" t="n">
        <f aca="false">$B$6*(0.75*(E69+F69))^0.25</f>
        <v>5244.73610581189</v>
      </c>
      <c r="J69" s="20" t="n">
        <f aca="false">$B$6*(0.75*(E69+2/3))^0.25</f>
        <v>5258.21407740981</v>
      </c>
      <c r="K69" s="23" t="n">
        <f aca="false">2*hP*cL^2/($B$7*0.000000001)^5/(EXP(hP*cL/($B$7*0.000000001*kB*I69))-1)</f>
        <v>15852548875513.4</v>
      </c>
      <c r="S69" s="22" t="n">
        <v>303.538</v>
      </c>
      <c r="T69" s="23" t="n">
        <f aca="false">2*PI()*SUMPRODUCT(2*hP*cL^2/(S69*0.000000001)^5/(EXP(hP*cL/(S69*0.000000001*kB*$I$31:$I$101))-1),$G$31:$G$101,$H$31:$H$101)</f>
        <v>48162363161980.7</v>
      </c>
      <c r="U69" s="23" t="n">
        <f aca="false">(S70-S68)/2*0.000000001</f>
        <v>2.17435E-008</v>
      </c>
      <c r="V69" s="23" t="n">
        <f aca="false">PI()*2*hP*cL^2/(S69*0.000000001)^5/(EXP(hP*cL/(S69*0.000000001*kB*$B$6))-1)</f>
        <v>39414997875491.4</v>
      </c>
    </row>
    <row r="70" customFormat="false" ht="15" hidden="false" customHeight="false" outlineLevel="0" collapsed="false">
      <c r="E70" s="23" t="n">
        <f aca="false">INDEX(Data!$A$4:$A$74,40)</f>
        <v>0.292187061550354</v>
      </c>
      <c r="F70" s="17" t="n">
        <f aca="false">INDEX(Data!$B$4:$B$74,40)</f>
        <v>0.662406126341922</v>
      </c>
      <c r="G70" s="31" t="n">
        <f aca="false">INDEX(Data!$C$4:$C$74,40)</f>
        <v>0.476267451699933</v>
      </c>
      <c r="H70" s="23" t="n">
        <f aca="false">(E71-E69)/2</f>
        <v>0.0438168292340163</v>
      </c>
      <c r="I70" s="20" t="n">
        <f aca="false">$B$6*(0.75*(E70+F70))^0.25</f>
        <v>5309.40948073326</v>
      </c>
      <c r="J70" s="20" t="n">
        <f aca="false">$B$6*(0.75*(E70+2/3))^0.25</f>
        <v>5315.32383018085</v>
      </c>
      <c r="K70" s="23" t="n">
        <f aca="false">2*hP*cL^2/($B$7*0.000000001)^5/(EXP(hP*cL/($B$7*0.000000001*kB*I70))-1)</f>
        <v>16953070852362.2</v>
      </c>
      <c r="S70" s="22" t="n">
        <v>326.06</v>
      </c>
      <c r="T70" s="23" t="n">
        <f aca="false">2*PI()*SUMPRODUCT(2*hP*cL^2/(S70*0.000000001)^5/(EXP(hP*cL/(S70*0.000000001*kB*$I$31:$I$101))-1),$G$31:$G$101,$H$31:$H$101)</f>
        <v>56658382086389.3</v>
      </c>
      <c r="U70" s="23" t="n">
        <f aca="false">(S71-S69)/2*0.000000001</f>
        <v>2.33575E-008</v>
      </c>
      <c r="V70" s="23" t="n">
        <f aca="false">PI()*2*hP*cL^2/(S70*0.000000001)^5/(EXP(hP*cL/(S70*0.000000001*kB*$B$6))-1)</f>
        <v>48604504485817.7</v>
      </c>
    </row>
    <row r="71" customFormat="false" ht="15" hidden="false" customHeight="false" outlineLevel="0" collapsed="false">
      <c r="E71" s="23" t="n">
        <f aca="false">INDEX(Data!$A$4:$A$74,41)</f>
        <v>0.339271044742195</v>
      </c>
      <c r="F71" s="17" t="n">
        <f aca="false">INDEX(Data!$B$4:$B$74,41)</f>
        <v>0.667505020846813</v>
      </c>
      <c r="G71" s="31" t="n">
        <f aca="false">INDEX(Data!$C$4:$C$74,41)</f>
        <v>0.43535129547812</v>
      </c>
      <c r="H71" s="23" t="n">
        <f aca="false">(E72-E70)/2</f>
        <v>0.0508776170739278</v>
      </c>
      <c r="I71" s="20" t="n">
        <f aca="false">$B$6*(0.75*(E71+F71))^0.25</f>
        <v>5380.52754258322</v>
      </c>
      <c r="J71" s="20" t="n">
        <f aca="false">$B$6*(0.75*(E71+2/3))^0.25</f>
        <v>5379.40708562036</v>
      </c>
      <c r="K71" s="23" t="n">
        <f aca="false">2*hP*cL^2/($B$7*0.000000001)^5/(EXP(hP*cL/($B$7*0.000000001*kB*I71))-1)</f>
        <v>18218098676776.6</v>
      </c>
      <c r="S71" s="22" t="n">
        <v>350.253</v>
      </c>
      <c r="T71" s="23" t="n">
        <f aca="false">2*PI()*SUMPRODUCT(2*hP*cL^2/(S71*0.000000001)^5/(EXP(hP*cL/(S71*0.000000001*kB*$I$31:$I$101))-1),$G$31:$G$101,$H$31:$H$101)</f>
        <v>64597154864578.6</v>
      </c>
      <c r="U71" s="23" t="n">
        <f aca="false">(S72-S70)/2*0.000000001</f>
        <v>2.509E-008</v>
      </c>
      <c r="V71" s="23" t="n">
        <f aca="false">PI()*2*hP*cL^2/(S71*0.000000001)^5/(EXP(hP*cL/(S71*0.000000001*kB*$B$6))-1)</f>
        <v>57640793448060</v>
      </c>
    </row>
    <row r="72" customFormat="false" ht="15" hidden="false" customHeight="false" outlineLevel="0" collapsed="false">
      <c r="E72" s="23" t="n">
        <f aca="false">INDEX(Data!$A$4:$A$74,42)</f>
        <v>0.39394229569821</v>
      </c>
      <c r="F72" s="17" t="n">
        <f aca="false">INDEX(Data!$B$4:$B$74,42)</f>
        <v>0.672526269399698</v>
      </c>
      <c r="G72" s="31" t="n">
        <f aca="false">INDEX(Data!$C$4:$C$74,42)</f>
        <v>0.393653776011565</v>
      </c>
      <c r="H72" s="23" t="n">
        <f aca="false">(E73-E71)/2</f>
        <v>0.0590762034673125</v>
      </c>
      <c r="I72" s="20" t="n">
        <f aca="false">$B$6*(0.75*(E72+F72))^0.25</f>
        <v>5458.5670961725</v>
      </c>
      <c r="J72" s="20" t="n">
        <f aca="false">$B$6*(0.75*(E72+2/3))^0.25</f>
        <v>5451.05371282334</v>
      </c>
      <c r="K72" s="23" t="n">
        <f aca="false">2*hP*cL^2/($B$7*0.000000001)^5/(EXP(hP*cL/($B$7*0.000000001*kB*I72))-1)</f>
        <v>19673164336459.7</v>
      </c>
      <c r="S72" s="22" t="n">
        <v>376.24</v>
      </c>
      <c r="T72" s="23" t="n">
        <f aca="false">2*PI()*SUMPRODUCT(2*hP*cL^2/(S72*0.000000001)^5/(EXP(hP*cL/(S72*0.000000001*kB*$I$31:$I$101))-1),$G$31:$G$101,$H$31:$H$101)</f>
        <v>71497913082769.8</v>
      </c>
      <c r="U72" s="23" t="n">
        <f aca="false">(S73-S71)/2*0.000000001</f>
        <v>2.69515E-008</v>
      </c>
      <c r="V72" s="23" t="n">
        <f aca="false">PI()*2*hP*cL^2/(S72*0.000000001)^5/(EXP(hP*cL/(S72*0.000000001*kB*$B$6))-1)</f>
        <v>65920445734393.4</v>
      </c>
    </row>
    <row r="73" customFormat="false" ht="15" hidden="false" customHeight="false" outlineLevel="0" collapsed="false">
      <c r="E73" s="23" t="n">
        <f aca="false">INDEX(Data!$A$4:$A$74,43)</f>
        <v>0.45742345167682</v>
      </c>
      <c r="F73" s="17" t="n">
        <f aca="false">INDEX(Data!$B$4:$B$74,43)</f>
        <v>0.677407197757734</v>
      </c>
      <c r="G73" s="31" t="n">
        <f aca="false">INDEX(Data!$C$4:$C$74,43)</f>
        <v>0.351625676310468</v>
      </c>
      <c r="H73" s="23" t="n">
        <f aca="false">(E74-E72)/2</f>
        <v>0.0685959370117541</v>
      </c>
      <c r="I73" s="20" t="n">
        <f aca="false">$B$6*(0.75*(E73+F73))^0.25</f>
        <v>5544.01507401578</v>
      </c>
      <c r="J73" s="20" t="n">
        <f aca="false">$B$6*(0.75*(E73+2/3))^0.25</f>
        <v>5530.85051549539</v>
      </c>
      <c r="K73" s="23" t="n">
        <f aca="false">2*hP*cL^2/($B$7*0.000000001)^5/(EXP(hP*cL/($B$7*0.000000001*kB*I73))-1)</f>
        <v>21347662801045.2</v>
      </c>
      <c r="S73" s="22" t="n">
        <v>404.156</v>
      </c>
      <c r="T73" s="23" t="n">
        <f aca="false">2*PI()*SUMPRODUCT(2*hP*cL^2/(S73*0.000000001)^5/(EXP(hP*cL/(S73*0.000000001*kB*$I$31:$I$101))-1),$G$31:$G$101,$H$31:$H$101)</f>
        <v>76952984228087.5</v>
      </c>
      <c r="U73" s="23" t="n">
        <f aca="false">(S74-S72)/2*0.000000001</f>
        <v>2.89515E-008</v>
      </c>
      <c r="V73" s="23" t="n">
        <f aca="false">PI()*2*hP*cL^2/(S73*0.000000001)^5/(EXP(hP*cL/(S73*0.000000001*kB*$B$6))-1)</f>
        <v>72891540760108.6</v>
      </c>
    </row>
    <row r="74" customFormat="false" ht="15" hidden="false" customHeight="false" outlineLevel="0" collapsed="false">
      <c r="E74" s="23" t="n">
        <f aca="false">INDEX(Data!$A$4:$A$74,44)</f>
        <v>0.531134169721718</v>
      </c>
      <c r="F74" s="17" t="n">
        <f aca="false">INDEX(Data!$B$4:$B$74,44)</f>
        <v>0.682091104589113</v>
      </c>
      <c r="G74" s="31" t="n">
        <f aca="false">INDEX(Data!$C$4:$C$74,44)</f>
        <v>0.30978599872001</v>
      </c>
      <c r="H74" s="23" t="n">
        <f aca="false">(E75-E73)/2</f>
        <v>0.0796497117003138</v>
      </c>
      <c r="I74" s="20" t="n">
        <f aca="false">$B$6*(0.75*(E74+F74))^0.25</f>
        <v>5637.37597814017</v>
      </c>
      <c r="J74" s="20" t="n">
        <f aca="false">$B$6*(0.75*(E74+2/3))^0.25</f>
        <v>5619.37210501897</v>
      </c>
      <c r="K74" s="23" t="n">
        <f aca="false">2*hP*cL^2/($B$7*0.000000001)^5/(EXP(hP*cL/($B$7*0.000000001*kB*I74))-1)</f>
        <v>23275546521874</v>
      </c>
      <c r="S74" s="22" t="n">
        <v>434.143</v>
      </c>
      <c r="T74" s="23" t="n">
        <f aca="false">2*PI()*SUMPRODUCT(2*hP*cL^2/(S74*0.000000001)^5/(EXP(hP*cL/(S74*0.000000001*kB*$I$31:$I$101))-1),$G$31:$G$101,$H$31:$H$101)</f>
        <v>80668893331997.8</v>
      </c>
      <c r="U74" s="23" t="n">
        <f aca="false">(S75-S73)/2*0.000000001</f>
        <v>3.10995E-008</v>
      </c>
      <c r="V74" s="23" t="n">
        <f aca="false">PI()*2*hP*cL^2/(S74*0.000000001)^5/(EXP(hP*cL/(S74*0.000000001*kB*$B$6))-1)</f>
        <v>78118922548533.5</v>
      </c>
    </row>
    <row r="75" customFormat="false" ht="15" hidden="false" customHeight="false" outlineLevel="0" collapsed="false">
      <c r="E75" s="23" t="n">
        <f aca="false">INDEX(Data!$A$4:$A$74,45)</f>
        <v>0.616722875077448</v>
      </c>
      <c r="F75" s="17" t="n">
        <f aca="false">INDEX(Data!$B$4:$B$74,45)</f>
        <v>0.686517700564339</v>
      </c>
      <c r="G75" s="31" t="n">
        <f aca="false">INDEX(Data!$C$4:$C$74,45)</f>
        <v>0.268711428375415</v>
      </c>
      <c r="H75" s="23" t="n">
        <f aca="false">(E76-E74)/2</f>
        <v>0.0924847279636413</v>
      </c>
      <c r="I75" s="20" t="n">
        <f aca="false">$B$6*(0.75*(E75+F75))^0.25</f>
        <v>5739.15278555111</v>
      </c>
      <c r="J75" s="20" t="n">
        <f aca="false">$B$6*(0.75*(E75+2/3))^0.25</f>
        <v>5717.17205499145</v>
      </c>
      <c r="K75" s="23" t="n">
        <f aca="false">2*hP*cL^2/($B$7*0.000000001)^5/(EXP(hP*cL/($B$7*0.000000001*kB*I75))-1)</f>
        <v>25495518159772.9</v>
      </c>
      <c r="S75" s="22" t="n">
        <v>466.355</v>
      </c>
      <c r="T75" s="23" t="n">
        <f aca="false">2*PI()*SUMPRODUCT(2*hP*cL^2/(S75*0.000000001)^5/(EXP(hP*cL/(S75*0.000000001*kB*$I$31:$I$101))-1),$G$31:$G$101,$H$31:$H$101)</f>
        <v>82492442819656.2</v>
      </c>
      <c r="U75" s="23" t="n">
        <f aca="false">(S76-S74)/2*0.000000001</f>
        <v>3.3407E-008</v>
      </c>
      <c r="V75" s="23" t="n">
        <f aca="false">PI()*2*hP*cL^2/(S75*0.000000001)^5/(EXP(hP*cL/(S75*0.000000001*kB*$B$6))-1)</f>
        <v>81330336919586.5</v>
      </c>
    </row>
    <row r="76" customFormat="false" ht="15" hidden="false" customHeight="false" outlineLevel="0" collapsed="false">
      <c r="E76" s="23" t="n">
        <f aca="false">INDEX(Data!$A$4:$A$74,46)</f>
        <v>0.716103625649</v>
      </c>
      <c r="F76" s="17" t="n">
        <f aca="false">INDEX(Data!$B$4:$B$74,46)</f>
        <v>0.690630169934122</v>
      </c>
      <c r="G76" s="31" t="n">
        <f aca="false">INDEX(Data!$C$4:$C$74,46)</f>
        <v>0.229018880610733</v>
      </c>
      <c r="H76" s="23" t="n">
        <f aca="false">(E77-E75)/2</f>
        <v>0.107388020922052</v>
      </c>
      <c r="I76" s="20" t="n">
        <f aca="false">$B$6*(0.75*(E76+F76))^0.25</f>
        <v>5849.84849637938</v>
      </c>
      <c r="J76" s="20" t="n">
        <f aca="false">$B$6*(0.75*(E76+2/3))^0.25</f>
        <v>5824.77492417126</v>
      </c>
      <c r="K76" s="23" t="n">
        <f aca="false">2*hP*cL^2/($B$7*0.000000001)^5/(EXP(hP*cL/($B$7*0.000000001*kB*I76))-1)</f>
        <v>28051604952468.3</v>
      </c>
      <c r="S76" s="22" t="n">
        <v>500.957</v>
      </c>
      <c r="T76" s="23" t="n">
        <f aca="false">2*PI()*SUMPRODUCT(2*hP*cL^2/(S76*0.000000001)^5/(EXP(hP*cL/(S76*0.000000001*kB*$I$31:$I$101))-1),$G$31:$G$101,$H$31:$H$101)</f>
        <v>82415430805814.3</v>
      </c>
      <c r="U76" s="23" t="n">
        <f aca="false">(S77-S75)/2*0.000000001</f>
        <v>3.58855E-008</v>
      </c>
      <c r="V76" s="23" t="n">
        <f aca="false">PI()*2*hP*cL^2/(S76*0.000000001)^5/(EXP(hP*cL/(S76*0.000000001*kB*$B$6))-1)</f>
        <v>82433179567171.2</v>
      </c>
    </row>
    <row r="77" customFormat="false" ht="15" hidden="false" customHeight="false" outlineLevel="0" collapsed="false">
      <c r="E77" s="23" t="n">
        <f aca="false">INDEX(Data!$A$4:$A$74,47)</f>
        <v>0.831498916921552</v>
      </c>
      <c r="F77" s="17" t="n">
        <f aca="false">INDEX(Data!$B$4:$B$74,47)</f>
        <v>0.694378226245563</v>
      </c>
      <c r="G77" s="31" t="n">
        <f aca="false">INDEX(Data!$C$4:$C$74,47)</f>
        <v>0.191340446907739</v>
      </c>
      <c r="H77" s="23" t="n">
        <f aca="false">(E78-E76)/2</f>
        <v>0.124692879478314</v>
      </c>
      <c r="I77" s="20" t="n">
        <f aca="false">$B$6*(0.75*(E77+F77))^0.25</f>
        <v>5969.96149680783</v>
      </c>
      <c r="J77" s="20" t="n">
        <f aca="false">$B$6*(0.75*(E77+2/3))^0.25</f>
        <v>5942.66969884919</v>
      </c>
      <c r="K77" s="23" t="n">
        <f aca="false">2*hP*cL^2/($B$7*0.000000001)^5/(EXP(hP*cL/($B$7*0.000000001*kB*I77))-1)</f>
        <v>30993589478825.9</v>
      </c>
      <c r="S77" s="22" t="n">
        <v>538.126</v>
      </c>
      <c r="T77" s="23" t="n">
        <f aca="false">2*PI()*SUMPRODUCT(2*hP*cL^2/(S77*0.000000001)^5/(EXP(hP*cL/(S77*0.000000001*kB*$I$31:$I$101))-1),$G$31:$G$101,$H$31:$H$101)</f>
        <v>80561615772911.3</v>
      </c>
      <c r="U77" s="23" t="n">
        <f aca="false">(S78-S76)/2*0.000000001</f>
        <v>3.8548E-008</v>
      </c>
      <c r="V77" s="23" t="n">
        <f aca="false">PI()*2*hP*cL^2/(S77*0.000000001)^5/(EXP(hP*cL/(S77*0.000000001*kB*$B$6))-1)</f>
        <v>81505286110227.1</v>
      </c>
    </row>
    <row r="78" customFormat="false" ht="15" hidden="false" customHeight="false" outlineLevel="0" collapsed="false">
      <c r="E78" s="23" t="n">
        <f aca="false">INDEX(Data!$A$4:$A$74,48)</f>
        <v>0.965489384605629</v>
      </c>
      <c r="F78" s="17" t="n">
        <f aca="false">INDEX(Data!$B$4:$B$74,48)</f>
        <v>0.697721290897148</v>
      </c>
      <c r="G78" s="31" t="n">
        <f aca="false">INDEX(Data!$C$4:$C$74,48)</f>
        <v>0.156290801668999</v>
      </c>
      <c r="H78" s="23" t="n">
        <f aca="false">(E79-E77)/2</f>
        <v>0.144786299804141</v>
      </c>
      <c r="I78" s="20" t="n">
        <f aca="false">$B$6*(0.75*(E78+F78))^0.25</f>
        <v>6099.98060610439</v>
      </c>
      <c r="J78" s="20" t="n">
        <f aca="false">$B$6*(0.75*(E78+2/3))^0.25</f>
        <v>6071.30510307631</v>
      </c>
      <c r="K78" s="23" t="n">
        <f aca="false">2*hP*cL^2/($B$7*0.000000001)^5/(EXP(hP*cL/($B$7*0.000000001*kB*I78))-1)</f>
        <v>34377371907662</v>
      </c>
      <c r="S78" s="22" t="n">
        <v>578.053</v>
      </c>
      <c r="T78" s="23" t="n">
        <f aca="false">2*PI()*SUMPRODUCT(2*hP*cL^2/(S78*0.000000001)^5/(EXP(hP*cL/(S78*0.000000001*kB*$I$31:$I$101))-1),$G$31:$G$101,$H$31:$H$101)</f>
        <v>77159765753436.9</v>
      </c>
      <c r="U78" s="23" t="n">
        <f aca="false">(S79-S77)/2*0.000000001</f>
        <v>4.14085E-008</v>
      </c>
      <c r="V78" s="23" t="n">
        <f aca="false">PI()*2*hP*cL^2/(S78*0.000000001)^5/(EXP(hP*cL/(S78*0.000000001*kB*$B$6))-1)</f>
        <v>78764859208578.5</v>
      </c>
    </row>
    <row r="79" customFormat="false" ht="15" hidden="false" customHeight="false" outlineLevel="0" collapsed="false">
      <c r="E79" s="23" t="n">
        <f aca="false">INDEX(Data!$A$4:$A$74,49)</f>
        <v>1.12107151652983</v>
      </c>
      <c r="F79" s="17" t="n">
        <f aca="false">INDEX(Data!$B$4:$B$74,49)</f>
        <v>0.700631513410051</v>
      </c>
      <c r="G79" s="31" t="n">
        <f aca="false">INDEX(Data!$C$4:$C$74,49)</f>
        <v>0.124428269199496</v>
      </c>
      <c r="H79" s="23" t="n">
        <f aca="false">(E80-E78)/2</f>
        <v>0.168117639905975</v>
      </c>
      <c r="I79" s="20" t="n">
        <f aca="false">$B$6*(0.75*(E79+F79))^0.25</f>
        <v>6240.37995888259</v>
      </c>
      <c r="J79" s="20" t="n">
        <f aca="false">$B$6*(0.75*(E79+2/3))^0.25</f>
        <v>6211.08706786145</v>
      </c>
      <c r="K79" s="23" t="n">
        <f aca="false">2*hP*cL^2/($B$7*0.000000001)^5/(EXP(hP*cL/($B$7*0.000000001*kB*I79))-1)</f>
        <v>38265230576460.1</v>
      </c>
      <c r="S79" s="22" t="n">
        <v>620.943</v>
      </c>
      <c r="T79" s="23" t="n">
        <f aca="false">2*PI()*SUMPRODUCT(2*hP*cL^2/(S79*0.000000001)^5/(EXP(hP*cL/(S79*0.000000001*kB*$I$31:$I$101))-1),$G$31:$G$101,$H$31:$H$101)</f>
        <v>72509074323317.1</v>
      </c>
      <c r="U79" s="23" t="n">
        <f aca="false">(S80-S78)/2*0.000000001</f>
        <v>4.4481E-008</v>
      </c>
      <c r="V79" s="23" t="n">
        <f aca="false">PI()*2*hP*cL^2/(S79*0.000000001)^5/(EXP(hP*cL/(S79*0.000000001*kB*$B$6))-1)</f>
        <v>74528199408133.1</v>
      </c>
    </row>
    <row r="80" customFormat="false" ht="15" hidden="false" customHeight="false" outlineLevel="0" collapsed="false">
      <c r="E80" s="23" t="n">
        <f aca="false">INDEX(Data!$A$4:$A$74,50)</f>
        <v>1.30172466441758</v>
      </c>
      <c r="F80" s="17" t="n">
        <f aca="false">INDEX(Data!$B$4:$B$74,50)</f>
        <v>0.703096275551466</v>
      </c>
      <c r="G80" s="31" t="n">
        <f aca="false">INDEX(Data!$C$4:$C$74,50)</f>
        <v>0.0962122518494158</v>
      </c>
      <c r="H80" s="23" t="n">
        <f aca="false">(E81-E79)/2</f>
        <v>0.195208668815962</v>
      </c>
      <c r="I80" s="20" t="n">
        <f aca="false">$B$6*(0.75*(E80+F80))^0.25</f>
        <v>6391.61394662092</v>
      </c>
      <c r="J80" s="20" t="n">
        <f aca="false">$B$6*(0.75*(E80+2/3))^0.25</f>
        <v>6362.37846094217</v>
      </c>
      <c r="K80" s="23" t="n">
        <f aca="false">2*hP*cL^2/($B$7*0.000000001)^5/(EXP(hP*cL/($B$7*0.000000001*kB*I80))-1)</f>
        <v>42725947576416.7</v>
      </c>
      <c r="S80" s="22" t="n">
        <v>667.015</v>
      </c>
      <c r="T80" s="23" t="n">
        <f aca="false">2*PI()*SUMPRODUCT(2*hP*cL^2/(S80*0.000000001)^5/(EXP(hP*cL/(S80*0.000000001*kB*$I$31:$I$101))-1),$G$31:$G$101,$H$31:$H$101)</f>
        <v>66943117635368.8</v>
      </c>
      <c r="U80" s="23" t="n">
        <f aca="false">(S81-S79)/2*0.000000001</f>
        <v>4.7781E-008</v>
      </c>
      <c r="V80" s="23" t="n">
        <f aca="false">PI()*2*hP*cL^2/(S80*0.000000001)^5/(EXP(hP*cL/(S80*0.000000001*kB*$B$6))-1)</f>
        <v>69164156270561.1</v>
      </c>
    </row>
    <row r="81" customFormat="false" ht="15" hidden="false" customHeight="false" outlineLevel="0" collapsed="false">
      <c r="E81" s="23" t="n">
        <f aca="false">INDEX(Data!$A$4:$A$74,51)</f>
        <v>1.51148885416176</v>
      </c>
      <c r="F81" s="17" t="n">
        <f aca="false">INDEX(Data!$B$4:$B$74,51)</f>
        <v>0.705119775755431</v>
      </c>
      <c r="G81" s="31" t="n">
        <f aca="false">INDEX(Data!$C$4:$C$74,51)</f>
        <v>0.0719614310920637</v>
      </c>
      <c r="H81" s="23" t="n">
        <f aca="false">(E82-E80)/2</f>
        <v>0.226665235142562</v>
      </c>
      <c r="I81" s="20" t="n">
        <f aca="false">$B$6*(0.75*(E81+F81))^0.25</f>
        <v>6554.11252291001</v>
      </c>
      <c r="J81" s="20" t="n">
        <f aca="false">$B$6*(0.75*(E81+2/3))^0.25</f>
        <v>6525.50098533998</v>
      </c>
      <c r="K81" s="23" t="n">
        <f aca="false">2*hP*cL^2/($B$7*0.000000001)^5/(EXP(hP*cL/($B$7*0.000000001*kB*I81))-1)</f>
        <v>47834770096915.2</v>
      </c>
      <c r="S81" s="22" t="n">
        <v>716.505</v>
      </c>
      <c r="T81" s="23" t="n">
        <f aca="false">2*PI()*SUMPRODUCT(2*hP*cL^2/(S81*0.000000001)^5/(EXP(hP*cL/(S81*0.000000001*kB*$I$31:$I$101))-1),$G$31:$G$101,$H$31:$H$101)</f>
        <v>60796768202383.2</v>
      </c>
      <c r="U81" s="23" t="n">
        <f aca="false">(S82-S80)/2*0.000000001</f>
        <v>5.1326E-008</v>
      </c>
      <c r="V81" s="23" t="n">
        <f aca="false">PI()*2*hP*cL^2/(S81*0.000000001)^5/(EXP(hP*cL/(S81*0.000000001*kB*$B$6))-1)</f>
        <v>63051849583538.9</v>
      </c>
    </row>
    <row r="82" customFormat="false" ht="15" hidden="false" customHeight="false" outlineLevel="0" collapsed="false">
      <c r="E82" s="23" t="n">
        <f aca="false">INDEX(Data!$A$4:$A$74,52)</f>
        <v>1.7550551347027</v>
      </c>
      <c r="F82" s="17" t="n">
        <f aca="false">INDEX(Data!$B$4:$B$74,52)</f>
        <v>0.706723303297694</v>
      </c>
      <c r="G82" s="31" t="n">
        <f aca="false">INDEX(Data!$C$4:$C$74,52)</f>
        <v>0.0518187361468644</v>
      </c>
      <c r="H82" s="23" t="n">
        <f aca="false">(E83-E81)/2</f>
        <v>0.263190815929744</v>
      </c>
      <c r="I82" s="20" t="n">
        <f aca="false">$B$6*(0.75*(E82+F82))^0.25</f>
        <v>6728.27725235617</v>
      </c>
      <c r="J82" s="20" t="n">
        <f aca="false">$B$6*(0.75*(E82+2/3))^0.25</f>
        <v>6700.73898535379</v>
      </c>
      <c r="K82" s="23" t="n">
        <f aca="false">2*hP*cL^2/($B$7*0.000000001)^5/(EXP(hP*cL/($B$7*0.000000001*kB*I82))-1)</f>
        <v>53673187574689.9</v>
      </c>
      <c r="S82" s="22" t="n">
        <v>769.667</v>
      </c>
      <c r="T82" s="23" t="n">
        <f aca="false">2*PI()*SUMPRODUCT(2*hP*cL^2/(S82*0.000000001)^5/(EXP(hP*cL/(S82*0.000000001*kB*$I$31:$I$101))-1),$G$31:$G$101,$H$31:$H$101)</f>
        <v>54379985124458.8</v>
      </c>
      <c r="U82" s="23" t="n">
        <f aca="false">(S83-S81)/2*0.000000001</f>
        <v>5.51345E-008</v>
      </c>
      <c r="V82" s="23" t="n">
        <f aca="false">PI()*2*hP*cL^2/(S82*0.000000001)^5/(EXP(hP*cL/(S82*0.000000001*kB*$B$6))-1)</f>
        <v>56546916078656.3</v>
      </c>
    </row>
    <row r="83" customFormat="false" ht="15" hidden="false" customHeight="false" outlineLevel="0" collapsed="false">
      <c r="E83" s="23" t="n">
        <f aca="false">INDEX(Data!$A$4:$A$74,53)</f>
        <v>2.03787048602125</v>
      </c>
      <c r="F83" s="17" t="n">
        <f aca="false">INDEX(Data!$B$4:$B$74,53)</f>
        <v>0.707943910841903</v>
      </c>
      <c r="G83" s="31" t="n">
        <f aca="false">INDEX(Data!$C$4:$C$74,53)</f>
        <v>0.0357299947763476</v>
      </c>
      <c r="H83" s="23" t="n">
        <f aca="false">(E84-E82)/2</f>
        <v>0.305602248823898</v>
      </c>
      <c r="I83" s="20" t="n">
        <f aca="false">$B$6*(0.75*(E83+F83))^0.25</f>
        <v>6914.47853431871</v>
      </c>
      <c r="J83" s="20" t="n">
        <f aca="false">$B$6*(0.75*(E83+2/3))^0.25</f>
        <v>6888.34477418694</v>
      </c>
      <c r="K83" s="23" t="n">
        <f aca="false">2*hP*cL^2/($B$7*0.000000001)^5/(EXP(hP*cL/($B$7*0.000000001*kB*I83))-1)</f>
        <v>60328519380031.6</v>
      </c>
      <c r="S83" s="22" t="n">
        <v>826.774</v>
      </c>
      <c r="T83" s="23" t="n">
        <f aca="false">2*PI()*SUMPRODUCT(2*hP*cL^2/(S83*0.000000001)^5/(EXP(hP*cL/(S83*0.000000001*kB*$I$31:$I$101))-1),$G$31:$G$101,$H$31:$H$101)</f>
        <v>47959889115818</v>
      </c>
      <c r="U83" s="23" t="n">
        <f aca="false">(S84-S82)/2*0.000000001</f>
        <v>5.9225E-008</v>
      </c>
      <c r="V83" s="23" t="n">
        <f aca="false">PI()*2*hP*cL^2/(S83*0.000000001)^5/(EXP(hP*cL/(S83*0.000000001*kB*$B$6))-1)</f>
        <v>49958339574651.9</v>
      </c>
    </row>
    <row r="84" customFormat="false" ht="15" hidden="false" customHeight="false" outlineLevel="0" collapsed="false">
      <c r="E84" s="23" t="n">
        <f aca="false">INDEX(Data!$A$4:$A$74,54)</f>
        <v>2.3662596323505</v>
      </c>
      <c r="F84" s="17" t="n">
        <f aca="false">INDEX(Data!$B$4:$B$74,54)</f>
        <v>0.708831395746813</v>
      </c>
      <c r="G84" s="31" t="n">
        <f aca="false">INDEX(Data!$C$4:$C$74,54)</f>
        <v>0.0234427747208725</v>
      </c>
      <c r="H84" s="23" t="n">
        <f aca="false">(E85-E83)/2</f>
        <v>0.354847999373786</v>
      </c>
      <c r="I84" s="20" t="n">
        <f aca="false">$B$6*(0.75*(E84+F84))^0.25</f>
        <v>7113.05443536212</v>
      </c>
      <c r="J84" s="20" t="n">
        <f aca="false">$B$6*(0.75*(E84+2/3))^0.25</f>
        <v>7088.54502914126</v>
      </c>
      <c r="K84" s="23" t="n">
        <f aca="false">2*hP*cL^2/($B$7*0.000000001)^5/(EXP(hP*cL/($B$7*0.000000001*kB*I84))-1)</f>
        <v>67893326747644.4</v>
      </c>
      <c r="S84" s="22" t="n">
        <v>888.117</v>
      </c>
      <c r="T84" s="23" t="n">
        <f aca="false">2*PI()*SUMPRODUCT(2*hP*cL^2/(S84*0.000000001)^5/(EXP(hP*cL/(S84*0.000000001*kB*$I$31:$I$101))-1),$G$31:$G$101,$H$31:$H$101)</f>
        <v>41751236769013.3</v>
      </c>
      <c r="U84" s="23" t="n">
        <f aca="false">(S85-S83)/2*0.000000001</f>
        <v>6.36195E-008</v>
      </c>
      <c r="V84" s="23" t="n">
        <f aca="false">PI()*2*hP*cL^2/(S84*0.000000001)^5/(EXP(hP*cL/(S84*0.000000001*kB*$B$6))-1)</f>
        <v>43535954298405.2</v>
      </c>
    </row>
    <row r="85" customFormat="false" ht="15" hidden="false" customHeight="false" outlineLevel="0" collapsed="false">
      <c r="E85" s="23" t="n">
        <f aca="false">INDEX(Data!$A$4:$A$74,55)</f>
        <v>2.74756648476882</v>
      </c>
      <c r="F85" s="17" t="n">
        <f aca="false">INDEX(Data!$B$4:$B$74,55)</f>
        <v>0.709443795614982</v>
      </c>
      <c r="G85" s="31" t="n">
        <f aca="false">INDEX(Data!$C$4:$C$74,55)</f>
        <v>0.014529602043232</v>
      </c>
      <c r="H85" s="23" t="n">
        <f aca="false">(E86-E84)/2</f>
        <v>0.412029371983245</v>
      </c>
      <c r="I85" s="20" t="n">
        <f aca="false">$B$6*(0.75*(E85+F85))^0.25</f>
        <v>7324.31149390556</v>
      </c>
      <c r="J85" s="20" t="n">
        <f aca="false">$B$6*(0.75*(E85+2/3))^0.25</f>
        <v>7301.54778845153</v>
      </c>
      <c r="K85" s="23" t="n">
        <f aca="false">2*hP*cL^2/($B$7*0.000000001)^5/(EXP(hP*cL/($B$7*0.000000001*kB*I85))-1)</f>
        <v>76464683213560.1</v>
      </c>
      <c r="S85" s="22" t="n">
        <v>954.013</v>
      </c>
      <c r="T85" s="23" t="n">
        <f aca="false">2*PI()*SUMPRODUCT(2*hP*cL^2/(S85*0.000000001)^5/(EXP(hP*cL/(S85*0.000000001*kB*$I$31:$I$101))-1),$G$31:$G$101,$H$31:$H$101)</f>
        <v>35913071785964.5</v>
      </c>
      <c r="U85" s="23" t="n">
        <f aca="false">(S86-S84)/2*0.000000001</f>
        <v>6.834E-008</v>
      </c>
      <c r="V85" s="23" t="n">
        <f aca="false">PI()*2*hP*cL^2/(S85*0.000000001)^5/(EXP(hP*cL/(S85*0.000000001*kB*$B$6))-1)</f>
        <v>37465955823251.5</v>
      </c>
    </row>
    <row r="86" customFormat="false" ht="15" hidden="false" customHeight="false" outlineLevel="0" collapsed="false">
      <c r="E86" s="23" t="n">
        <f aca="false">INDEX(Data!$A$4:$A$74,56)</f>
        <v>3.19031837631699</v>
      </c>
      <c r="F86" s="17" t="n">
        <f aca="false">INDEX(Data!$B$4:$B$74,56)</f>
        <v>0.709841942992282</v>
      </c>
      <c r="G86" s="31" t="n">
        <f aca="false">INDEX(Data!$C$4:$C$74,56)</f>
        <v>0.00843533133749581</v>
      </c>
      <c r="H86" s="23" t="n">
        <f aca="false">(E87-E85)/2</f>
        <v>0.47842513886651</v>
      </c>
      <c r="I86" s="20" t="n">
        <f aca="false">$B$6*(0.75*(E86+F86))^0.25</f>
        <v>7548.52770096623</v>
      </c>
      <c r="J86" s="20" t="n">
        <f aca="false">$B$6*(0.75*(E86+2/3))^0.25</f>
        <v>7527.54961961751</v>
      </c>
      <c r="K86" s="23" t="n">
        <f aca="false">2*hP*cL^2/($B$7*0.000000001)^5/(EXP(hP*cL/($B$7*0.000000001*kB*I86))-1)</f>
        <v>86143355784333.5</v>
      </c>
      <c r="S86" s="22" t="n">
        <v>1024.797</v>
      </c>
      <c r="T86" s="23" t="n">
        <f aca="false">2*PI()*SUMPRODUCT(2*hP*cL^2/(S86*0.000000001)^5/(EXP(hP*cL/(S86*0.000000001*kB*$I$31:$I$101))-1),$G$31:$G$101,$H$31:$H$101)</f>
        <v>30552404043955.5</v>
      </c>
      <c r="U86" s="23" t="n">
        <f aca="false">(S87-S85)/2*0.000000001</f>
        <v>7.34105E-008</v>
      </c>
      <c r="V86" s="23" t="n">
        <f aca="false">PI()*2*hP*cL^2/(S86*0.000000001)^5/(EXP(hP*cL/(S86*0.000000001*kB*$B$6))-1)</f>
        <v>31874811646724.5</v>
      </c>
    </row>
    <row r="87" customFormat="false" ht="15" hidden="false" customHeight="false" outlineLevel="0" collapsed="false">
      <c r="E87" s="23" t="n">
        <f aca="false">INDEX(Data!$A$4:$A$74,57)</f>
        <v>3.70441676250184</v>
      </c>
      <c r="F87" s="17" t="n">
        <f aca="false">INDEX(Data!$B$4:$B$74,57)</f>
        <v>0.710083297814694</v>
      </c>
      <c r="G87" s="31" t="n">
        <f aca="false">INDEX(Data!$C$4:$C$74,57)</f>
        <v>0.00454257854678033</v>
      </c>
      <c r="H87" s="23" t="n">
        <f aca="false">(E88-E86)/2</f>
        <v>0.555520137794324</v>
      </c>
      <c r="I87" s="20" t="n">
        <f aca="false">$B$6*(0.75*(E87+F87))^0.25</f>
        <v>7785.95734347338</v>
      </c>
      <c r="J87" s="20" t="n">
        <f aca="false">$B$6*(0.75*(E87+2/3))^0.25</f>
        <v>7766.74259834913</v>
      </c>
      <c r="K87" s="23" t="n">
        <f aca="false">2*hP*cL^2/($B$7*0.000000001)^5/(EXP(hP*cL/($B$7*0.000000001*kB*I87))-1)</f>
        <v>97032946809563.9</v>
      </c>
      <c r="S87" s="22" t="n">
        <v>1100.834</v>
      </c>
      <c r="T87" s="23" t="n">
        <f aca="false">2*PI()*SUMPRODUCT(2*hP*cL^2/(S87*0.000000001)^5/(EXP(hP*cL/(S87*0.000000001*kB*$I$31:$I$101))-1),$G$31:$G$101,$H$31:$H$101)</f>
        <v>25729605406477.8</v>
      </c>
      <c r="U87" s="23" t="n">
        <f aca="false">(S88-S86)/2*0.000000001</f>
        <v>7.88575E-008</v>
      </c>
      <c r="V87" s="23" t="n">
        <f aca="false">PI()*2*hP*cL^2/(S87*0.000000001)^5/(EXP(hP*cL/(S87*0.000000001*kB*$B$6))-1)</f>
        <v>26835603522232.7</v>
      </c>
    </row>
    <row r="88" customFormat="false" ht="15" hidden="false" customHeight="false" outlineLevel="0" collapsed="false">
      <c r="E88" s="23" t="n">
        <f aca="false">INDEX(Data!$A$4:$A$74,58)</f>
        <v>4.30135865190564</v>
      </c>
      <c r="F88" s="17" t="n">
        <f aca="false">INDEX(Data!$B$4:$B$74,58)</f>
        <v>0.710219381497255</v>
      </c>
      <c r="G88" s="31" t="n">
        <f aca="false">INDEX(Data!$C$4:$C$74,58)</f>
        <v>0.00224346329779067</v>
      </c>
      <c r="H88" s="23" t="n">
        <f aca="false">(E89-E87)/2</f>
        <v>0.645038478174805</v>
      </c>
      <c r="I88" s="20" t="n">
        <f aca="false">$B$6*(0.75*(E88+F88))^0.25</f>
        <v>8036.83889292048</v>
      </c>
      <c r="J88" s="20" t="n">
        <f aca="false">$B$6*(0.75*(E88+2/3))^0.25</f>
        <v>8019.32082424325</v>
      </c>
      <c r="K88" s="23" t="n">
        <f aca="false">2*hP*cL^2/($B$7*0.000000001)^5/(EXP(hP*cL/($B$7*0.000000001*kB*I88))-1)</f>
        <v>109239129618654</v>
      </c>
      <c r="S88" s="22" t="n">
        <v>1182.512</v>
      </c>
      <c r="T88" s="23" t="n">
        <f aca="false">2*PI()*SUMPRODUCT(2*hP*cL^2/(S88*0.000000001)^5/(EXP(hP*cL/(S88*0.000000001*kB*$I$31:$I$101))-1),$G$31:$G$101,$H$31:$H$101)</f>
        <v>21467325468405.1</v>
      </c>
      <c r="U88" s="23" t="n">
        <f aca="false">(S89-S87)/2*0.000000001</f>
        <v>8.4708E-008</v>
      </c>
      <c r="V88" s="23" t="n">
        <f aca="false">PI()*2*hP*cL^2/(S88*0.000000001)^5/(EXP(hP*cL/(S88*0.000000001*kB*$B$6))-1)</f>
        <v>22378301455040.2</v>
      </c>
    </row>
    <row r="89" customFormat="false" ht="15" hidden="false" customHeight="false" outlineLevel="0" collapsed="false">
      <c r="E89" s="23" t="n">
        <f aca="false">INDEX(Data!$A$4:$A$74,59)</f>
        <v>4.99449371885145</v>
      </c>
      <c r="F89" s="17" t="n">
        <f aca="false">INDEX(Data!$B$4:$B$74,59)</f>
        <v>0.710290544777671</v>
      </c>
      <c r="G89" s="31" t="n">
        <f aca="false">INDEX(Data!$C$4:$C$74,59)</f>
        <v>0.00100281235501789</v>
      </c>
      <c r="H89" s="23" t="n">
        <f aca="false">(E90-E88)/2</f>
        <v>0.74898209807133</v>
      </c>
      <c r="I89" s="20" t="n">
        <f aca="false">$B$6*(0.75*(E89+F89))^0.25</f>
        <v>8301.40198687696</v>
      </c>
      <c r="J89" s="20" t="n">
        <f aca="false">$B$6*(0.75*(E89+2/3))^0.25</f>
        <v>8285.4862899022</v>
      </c>
      <c r="K89" s="23" t="n">
        <f aca="false">2*hP*cL^2/($B$7*0.000000001)^5/(EXP(hP*cL/($B$7*0.000000001*kB*I89))-1)</f>
        <v>122868876252179</v>
      </c>
      <c r="S89" s="22" t="n">
        <v>1270.25</v>
      </c>
      <c r="T89" s="23" t="n">
        <f aca="false">2*PI()*SUMPRODUCT(2*hP*cL^2/(S89*0.000000001)^5/(EXP(hP*cL/(S89*0.000000001*kB*$I$31:$I$101))-1),$G$31:$G$101,$H$31:$H$101)</f>
        <v>17758803409792.2</v>
      </c>
      <c r="U89" s="23" t="n">
        <f aca="false">(S90-S88)/2*0.000000001</f>
        <v>9.09935E-008</v>
      </c>
      <c r="V89" s="23" t="n">
        <f aca="false">PI()*2*hP*cL^2/(S89*0.000000001)^5/(EXP(hP*cL/(S89*0.000000001*kB*$B$6))-1)</f>
        <v>18499430188188.3</v>
      </c>
    </row>
    <row r="90" customFormat="false" ht="15" hidden="false" customHeight="false" outlineLevel="0" collapsed="false">
      <c r="E90" s="23" t="n">
        <f aca="false">INDEX(Data!$A$4:$A$74,60)</f>
        <v>5.79932284804829</v>
      </c>
      <c r="F90" s="17" t="n">
        <f aca="false">INDEX(Data!$B$4:$B$74,60)</f>
        <v>0.710325323319857</v>
      </c>
      <c r="G90" s="31" t="n">
        <f aca="false">INDEX(Data!$C$4:$C$74,60)</f>
        <v>0.000399526279868014</v>
      </c>
      <c r="H90" s="23" t="n">
        <f aca="false">(E91-E89)/2</f>
        <v>0.869675534424955</v>
      </c>
      <c r="I90" s="20" t="n">
        <f aca="false">$B$6*(0.75*(E90+F90))^0.25</f>
        <v>8579.87612203612</v>
      </c>
      <c r="J90" s="20" t="n">
        <f aca="false">$B$6*(0.75*(E90+2/3))^0.25</f>
        <v>8565.45400368858</v>
      </c>
      <c r="K90" s="23" t="n">
        <f aca="false">2*hP*cL^2/($B$7*0.000000001)^5/(EXP(hP*cL/($B$7*0.000000001*kB*I90))-1)</f>
        <v>138029855631777</v>
      </c>
      <c r="S90" s="22" t="n">
        <v>1364.499</v>
      </c>
      <c r="T90" s="23" t="n">
        <f aca="false">2*PI()*SUMPRODUCT(2*hP*cL^2/(S90*0.000000001)^5/(EXP(hP*cL/(S90*0.000000001*kB*$I$31:$I$101))-1),$G$31:$G$101,$H$31:$H$101)</f>
        <v>14576329483703.9</v>
      </c>
      <c r="U90" s="23" t="n">
        <f aca="false">(S91-S89)/2*0.000000001</f>
        <v>9.7745E-008</v>
      </c>
      <c r="V90" s="23" t="n">
        <f aca="false">PI()*2*hP*cL^2/(S90*0.000000001)^5/(EXP(hP*cL/(S90*0.000000001*kB*$B$6))-1)</f>
        <v>15171773093196</v>
      </c>
    </row>
    <row r="91" customFormat="false" ht="15" hidden="false" customHeight="false" outlineLevel="0" collapsed="false">
      <c r="E91" s="23" t="n">
        <f aca="false">INDEX(Data!$A$4:$A$74,61)</f>
        <v>6.73384478770136</v>
      </c>
      <c r="F91" s="17" t="n">
        <f aca="false">INDEX(Data!$B$4:$B$74,61)</f>
        <v>0.710342036594481</v>
      </c>
      <c r="G91" s="31" t="n">
        <f aca="false">INDEX(Data!$C$4:$C$74,61)</f>
        <v>0.000139366302125243</v>
      </c>
      <c r="H91" s="23" t="n">
        <f aca="false">(E92-E90)/2</f>
        <v>1.00981790769758</v>
      </c>
      <c r="I91" s="20" t="n">
        <f aca="false">$B$6*(0.75*(E91+F91))^0.25</f>
        <v>8872.49890159568</v>
      </c>
      <c r="J91" s="20" t="n">
        <f aca="false">$B$6*(0.75*(E91+2/3))^0.25</f>
        <v>8859.45633607883</v>
      </c>
      <c r="K91" s="23" t="n">
        <f aca="false">2*hP*cL^2/($B$7*0.000000001)^5/(EXP(hP*cL/($B$7*0.000000001*kB*I91))-1)</f>
        <v>154829956074378</v>
      </c>
      <c r="S91" s="22" t="n">
        <v>1465.74</v>
      </c>
      <c r="T91" s="23" t="n">
        <f aca="false">2*PI()*SUMPRODUCT(2*hP*cL^2/(S91*0.000000001)^5/(EXP(hP*cL/(S91*0.000000001*kB*$I$31:$I$101))-1),$G$31:$G$101,$H$31:$H$101)</f>
        <v>11878676861475.4</v>
      </c>
      <c r="U91" s="23" t="n">
        <f aca="false">(S92-S90)/2*0.000000001</f>
        <v>1.04997E-007</v>
      </c>
      <c r="V91" s="23" t="n">
        <f aca="false">PI()*2*hP*cL^2/(S91*0.000000001)^5/(EXP(hP*cL/(S91*0.000000001*kB*$B$6))-1)</f>
        <v>12352824260260.9</v>
      </c>
    </row>
    <row r="92" customFormat="false" ht="15" hidden="false" customHeight="false" outlineLevel="0" collapsed="false">
      <c r="E92" s="23" t="n">
        <f aca="false">INDEX(Data!$A$4:$A$74,62)</f>
        <v>7.81895866344345</v>
      </c>
      <c r="F92" s="17" t="n">
        <f aca="false">INDEX(Data!$B$4:$B$74,62)</f>
        <v>0.710351105053317</v>
      </c>
      <c r="G92" s="31" t="n">
        <f aca="false">INDEX(Data!$C$4:$C$74,62)</f>
        <v>4.16930374467394E-005</v>
      </c>
      <c r="H92" s="23" t="n">
        <f aca="false">(E93-E91)/2</f>
        <v>1.17254328349133</v>
      </c>
      <c r="I92" s="20" t="n">
        <f aca="false">$B$6*(0.75*(E92+F92))^0.25</f>
        <v>9179.52291123178</v>
      </c>
      <c r="J92" s="20" t="n">
        <f aca="false">$B$6*(0.75*(E92+2/3))^0.25</f>
        <v>9167.7466127707</v>
      </c>
      <c r="K92" s="23" t="n">
        <f aca="false">2*hP*cL^2/($B$7*0.000000001)^5/(EXP(hP*cL/($B$7*0.000000001*kB*I92))-1)</f>
        <v>173376904303325</v>
      </c>
      <c r="S92" s="22" t="n">
        <v>1574.493</v>
      </c>
      <c r="T92" s="23" t="n">
        <f aca="false">2*PI()*SUMPRODUCT(2*hP*cL^2/(S92*0.000000001)^5/(EXP(hP*cL/(S92*0.000000001*kB*$I$31:$I$101))-1),$G$31:$G$101,$H$31:$H$101)</f>
        <v>9616882348947.4</v>
      </c>
      <c r="U92" s="23" t="n">
        <f aca="false">(S93-S91)/2*0.000000001</f>
        <v>1.127875E-007</v>
      </c>
      <c r="V92" s="23" t="n">
        <f aca="false">PI()*2*hP*cL^2/(S92*0.000000001)^5/(EXP(hP*cL/(S92*0.000000001*kB*$B$6))-1)</f>
        <v>9991332381147.04</v>
      </c>
    </row>
    <row r="93" customFormat="false" ht="15" hidden="false" customHeight="false" outlineLevel="0" collapsed="false">
      <c r="E93" s="23" t="n">
        <f aca="false">INDEX(Data!$A$4:$A$74,63)</f>
        <v>9.07893135468401</v>
      </c>
      <c r="F93" s="17" t="n">
        <f aca="false">INDEX(Data!$B$4:$B$74,63)</f>
        <v>0.710357723165527</v>
      </c>
      <c r="G93" s="31" t="n">
        <f aca="false">INDEX(Data!$C$4:$C$74,63)</f>
        <v>1.04426230026579E-005</v>
      </c>
      <c r="H93" s="23" t="n">
        <f aca="false">(E94-E92)/2</f>
        <v>1.36149076103765</v>
      </c>
      <c r="I93" s="20" t="n">
        <f aca="false">$B$6*(0.75*(E93+F93))^0.25</f>
        <v>9501.22114553663</v>
      </c>
      <c r="J93" s="20" t="n">
        <f aca="false">$B$6*(0.75*(E93+2/3))^0.25</f>
        <v>9490.60201434352</v>
      </c>
      <c r="K93" s="23" t="n">
        <f aca="false">2*hP*cL^2/($B$7*0.000000001)^5/(EXP(hP*cL/($B$7*0.000000001*kB*I93))-1)</f>
        <v>193777975049445</v>
      </c>
      <c r="S93" s="22" t="n">
        <v>1691.315</v>
      </c>
      <c r="T93" s="23" t="n">
        <f aca="false">2*PI()*SUMPRODUCT(2*hP*cL^2/(S93*0.000000001)^5/(EXP(hP*cL/(S93*0.000000001*kB*$I$31:$I$101))-1),$G$31:$G$101,$H$31:$H$101)</f>
        <v>7739049298030.6</v>
      </c>
      <c r="U93" s="23" t="n">
        <f aca="false">(S94-S92)/2*0.000000001</f>
        <v>1.21156E-007</v>
      </c>
      <c r="V93" s="23" t="n">
        <f aca="false">PI()*2*hP*cL^2/(S93*0.000000001)^5/(EXP(hP*cL/(S93*0.000000001*kB*$B$6))-1)</f>
        <v>8032662527851.98</v>
      </c>
    </row>
    <row r="94" customFormat="false" ht="15" hidden="false" customHeight="false" outlineLevel="0" collapsed="false">
      <c r="E94" s="23" t="n">
        <f aca="false">INDEX(Data!$A$4:$A$74,64)</f>
        <v>10.5419401855188</v>
      </c>
      <c r="F94" s="17" t="n">
        <f aca="false">INDEX(Data!$B$4:$B$74,64)</f>
        <v>0.710364153365868</v>
      </c>
      <c r="G94" s="31" t="n">
        <f aca="false">INDEX(Data!$C$4:$C$74,64)</f>
        <v>2.12934587029853E-006</v>
      </c>
      <c r="H94" s="23" t="n">
        <f aca="false">(E95-E93)/2</f>
        <v>1.58088585597582</v>
      </c>
      <c r="I94" s="20" t="n">
        <f aca="false">$B$6*(0.75*(E94+F94))^0.25</f>
        <v>9837.89098449824</v>
      </c>
      <c r="J94" s="20" t="n">
        <f aca="false">$B$6*(0.75*(E94+2/3))^0.25</f>
        <v>9828.32586425098</v>
      </c>
      <c r="K94" s="23" t="n">
        <f aca="false">2*hP*cL^2/($B$7*0.000000001)^5/(EXP(hP*cL/($B$7*0.000000001*kB*I94))-1)</f>
        <v>216139777811901</v>
      </c>
      <c r="S94" s="22" t="n">
        <v>1816.805</v>
      </c>
      <c r="T94" s="23" t="n">
        <f aca="false">2*PI()*SUMPRODUCT(2*hP*cL^2/(S94*0.000000001)^5/(EXP(hP*cL/(S94*0.000000001*kB*$I$31:$I$101))-1),$G$31:$G$101,$H$31:$H$101)</f>
        <v>6193669889095.34</v>
      </c>
      <c r="U94" s="23" t="n">
        <f aca="false">(S95-S93)/2*0.000000001</f>
        <v>1.30145E-007</v>
      </c>
      <c r="V94" s="23" t="n">
        <f aca="false">PI()*2*hP*cL^2/(S94*0.000000001)^5/(EXP(hP*cL/(S94*0.000000001*kB*$B$6))-1)</f>
        <v>6422483377137.14</v>
      </c>
    </row>
    <row r="95" customFormat="false" ht="15" hidden="false" customHeight="false" outlineLevel="0" collapsed="false">
      <c r="E95" s="23" t="n">
        <f aca="false">INDEX(Data!$A$4:$A$74,65)</f>
        <v>12.2407030666357</v>
      </c>
      <c r="F95" s="17" t="n">
        <f aca="false">INDEX(Data!$B$4:$B$74,65)</f>
        <v>0.710371287349067</v>
      </c>
      <c r="G95" s="31" t="n">
        <f aca="false">INDEX(Data!$C$4:$C$74,65)</f>
        <v>3.42177809020532E-007</v>
      </c>
      <c r="H95" s="23" t="n">
        <f aca="false">(E96-E94)/2</f>
        <v>1.83563499741977</v>
      </c>
      <c r="I95" s="20" t="n">
        <f aca="false">$B$6*(0.75*(E95+F95))^0.25</f>
        <v>10189.8569554609</v>
      </c>
      <c r="J95" s="20" t="n">
        <f aca="false">$B$6*(0.75*(E95+2/3))^0.25</f>
        <v>10181.2493970577</v>
      </c>
      <c r="K95" s="23" t="n">
        <f aca="false">2*hP*cL^2/($B$7*0.000000001)^5/(EXP(hP*cL/($B$7*0.000000001*kB*I95))-1)</f>
        <v>240568114868469</v>
      </c>
      <c r="S95" s="22" t="n">
        <v>1951.605</v>
      </c>
      <c r="T95" s="23" t="n">
        <f aca="false">2*PI()*SUMPRODUCT(2*hP*cL^2/(S95*0.000000001)^5/(EXP(hP*cL/(S95*0.000000001*kB*$I$31:$I$101))-1),$G$31:$G$101,$H$31:$H$101)</f>
        <v>4931942606475.08</v>
      </c>
      <c r="U95" s="23" t="n">
        <f aca="false">(S96-S94)/2*0.000000001</f>
        <v>1.398015E-007</v>
      </c>
      <c r="V95" s="23" t="n">
        <f aca="false">PI()*2*hP*cL^2/(S95*0.000000001)^5/(EXP(hP*cL/(S95*0.000000001*kB*$B$6))-1)</f>
        <v>5109311467470.16</v>
      </c>
    </row>
    <row r="96" customFormat="false" ht="15" hidden="false" customHeight="false" outlineLevel="0" collapsed="false">
      <c r="E96" s="23" t="n">
        <f aca="false">INDEX(Data!$A$4:$A$74,66)</f>
        <v>14.2132101803583</v>
      </c>
      <c r="F96" s="17" t="n">
        <f aca="false">INDEX(Data!$B$4:$B$74,66)</f>
        <v>0.710379500225859</v>
      </c>
      <c r="G96" s="31" t="n">
        <f aca="false">INDEX(Data!$C$4:$C$74,66)</f>
        <v>4.17267125514354E-008</v>
      </c>
      <c r="H96" s="23" t="n">
        <f aca="false">(E97-E95)/2</f>
        <v>2.13143525259285</v>
      </c>
      <c r="I96" s="20" t="n">
        <f aca="false">$B$6*(0.75*(E96+F96))^0.25</f>
        <v>10557.472605808</v>
      </c>
      <c r="J96" s="20" t="n">
        <f aca="false">$B$6*(0.75*(E96+2/3))^0.25</f>
        <v>10549.7331001592</v>
      </c>
      <c r="K96" s="23" t="n">
        <f aca="false">2*hP*cL^2/($B$7*0.000000001)^5/(EXP(hP*cL/($B$7*0.000000001*kB*I96))-1)</f>
        <v>267167909921976</v>
      </c>
      <c r="S96" s="22" t="n">
        <v>2096.408</v>
      </c>
      <c r="T96" s="23" t="n">
        <f aca="false">2*PI()*SUMPRODUCT(2*hP*cL^2/(S96*0.000000001)^5/(EXP(hP*cL/(S96*0.000000001*kB*$I$31:$I$101))-1),$G$31:$G$101,$H$31:$H$101)</f>
        <v>3909130301667.26</v>
      </c>
      <c r="U96" s="23" t="n">
        <f aca="false">(S97-S95)/2*0.000000001</f>
        <v>1.501745E-007</v>
      </c>
      <c r="V96" s="23" t="n">
        <f aca="false">PI()*2*hP*cL^2/(S96*0.000000001)^5/(EXP(hP*cL/(S96*0.000000001*kB*$B$6))-1)</f>
        <v>4045990115532.02</v>
      </c>
    </row>
    <row r="97" customFormat="false" ht="15" hidden="false" customHeight="false" outlineLevel="0" collapsed="false">
      <c r="E97" s="23" t="n">
        <f aca="false">INDEX(Data!$A$4:$A$74,67)</f>
        <v>16.5035735718214</v>
      </c>
      <c r="F97" s="17" t="n">
        <f aca="false">INDEX(Data!$B$4:$B$74,67)</f>
        <v>0.710389024882073</v>
      </c>
      <c r="G97" s="31" t="n">
        <f aca="false">INDEX(Data!$C$4:$C$74,67)</f>
        <v>3.69538746631243E-009</v>
      </c>
      <c r="H97" s="23" t="n">
        <f aca="false">(E98-E96)/2</f>
        <v>2.47490173285069</v>
      </c>
      <c r="I97" s="20" t="n">
        <f aca="false">$B$6*(0.75*(E97+F97))^0.25</f>
        <v>10941.1217811176</v>
      </c>
      <c r="J97" s="20" t="n">
        <f aca="false">$B$6*(0.75*(E97+2/3))^0.25</f>
        <v>10934.1677175656</v>
      </c>
      <c r="K97" s="23" t="n">
        <f aca="false">2*hP*cL^2/($B$7*0.000000001)^5/(EXP(hP*cL/($B$7*0.000000001*kB*I97))-1)</f>
        <v>296043207288930</v>
      </c>
      <c r="S97" s="22" t="n">
        <v>2251.954</v>
      </c>
      <c r="T97" s="23" t="n">
        <f aca="false">2*PI()*SUMPRODUCT(2*hP*cL^2/(S97*0.000000001)^5/(EXP(hP*cL/(S97*0.000000001*kB*$I$31:$I$101))-1),$G$31:$G$101,$H$31:$H$101)</f>
        <v>3085348152298.03</v>
      </c>
      <c r="U97" s="23" t="n">
        <f aca="false">(S98-S96)/2*0.000000001</f>
        <v>1.61317E-007</v>
      </c>
      <c r="V97" s="23" t="n">
        <f aca="false">PI()*2*hP*cL^2/(S97*0.000000001)^5/(EXP(hP*cL/(S97*0.000000001*kB*$B$6))-1)</f>
        <v>3190532540666.72</v>
      </c>
    </row>
    <row r="98" customFormat="false" ht="15" hidden="false" customHeight="false" outlineLevel="0" collapsed="false">
      <c r="E98" s="23" t="n">
        <f aca="false">INDEX(Data!$A$4:$A$74,68)</f>
        <v>19.1630136460597</v>
      </c>
      <c r="F98" s="17" t="n">
        <f aca="false">INDEX(Data!$B$4:$B$74,68)</f>
        <v>0.710400082935264</v>
      </c>
      <c r="G98" s="31" t="n">
        <f aca="false">INDEX(Data!$C$4:$C$74,68)</f>
        <v>2.25852961254674E-010</v>
      </c>
      <c r="H98" s="23" t="n">
        <f aca="false">(E99-E97)/2</f>
        <v>2.87371553032925</v>
      </c>
      <c r="I98" s="20" t="n">
        <f aca="false">$B$6*(0.75*(E98+F98))^0.25</f>
        <v>11341.2195209009</v>
      </c>
      <c r="J98" s="20" t="n">
        <f aca="false">$B$6*(0.75*(E98+2/3))^0.25</f>
        <v>11334.9749960461</v>
      </c>
      <c r="K98" s="23" t="n">
        <f aca="false">2*hP*cL^2/($B$7*0.000000001)^5/(EXP(hP*cL/($B$7*0.000000001*kB*I98))-1)</f>
        <v>327297238691829</v>
      </c>
      <c r="S98" s="22" t="n">
        <v>2419.042</v>
      </c>
      <c r="T98" s="23" t="n">
        <f aca="false">2*PI()*SUMPRODUCT(2*hP*cL^2/(S98*0.000000001)^5/(EXP(hP*cL/(S98*0.000000001*kB*$I$31:$I$101))-1),$G$31:$G$101,$H$31:$H$101)</f>
        <v>2425729943745.37</v>
      </c>
      <c r="U98" s="23" t="n">
        <f aca="false">(S99-S97)/2*0.000000001</f>
        <v>1.73286E-007</v>
      </c>
      <c r="V98" s="23" t="n">
        <f aca="false">PI()*2*hP*cL^2/(S98*0.000000001)^5/(EXP(hP*cL/(S98*0.000000001*kB*$B$6))-1)</f>
        <v>2506293357529.74</v>
      </c>
    </row>
    <row r="99" customFormat="false" ht="15" hidden="false" customHeight="false" outlineLevel="0" collapsed="false">
      <c r="E99" s="23" t="n">
        <f aca="false">INDEX(Data!$A$4:$A$74,69)</f>
        <v>22.2510046324799</v>
      </c>
      <c r="F99" s="17" t="n">
        <f aca="false">INDEX(Data!$B$4:$B$74,69)</f>
        <v>0.710412922809111</v>
      </c>
      <c r="G99" s="31" t="n">
        <f aca="false">INDEX(Data!$C$4:$C$74,69)</f>
        <v>8.97758658398466E-012</v>
      </c>
      <c r="H99" s="23" t="n">
        <f aca="false">(E100-E98)/2</f>
        <v>3.33679549359054</v>
      </c>
      <c r="I99" s="20" t="n">
        <f aca="false">$B$6*(0.75*(E99+F99))^0.25</f>
        <v>11758.2127071802</v>
      </c>
      <c r="J99" s="20" t="n">
        <f aca="false">$B$6*(0.75*(E99+2/3))^0.25</f>
        <v>11752.6082438324</v>
      </c>
      <c r="K99" s="23" t="n">
        <f aca="false">2*hP*cL^2/($B$7*0.000000001)^5/(EXP(hP*cL/($B$7*0.000000001*kB*I99))-1)</f>
        <v>361032551369563</v>
      </c>
      <c r="S99" s="22" t="n">
        <v>2598.526</v>
      </c>
      <c r="T99" s="23" t="n">
        <f aca="false">2*PI()*SUMPRODUCT(2*hP*cL^2/(S99*0.000000001)^5/(EXP(hP*cL/(S99*0.000000001*kB*$I$31:$I$101))-1),$G$31:$G$101,$H$31:$H$101)</f>
        <v>1900362666610.99</v>
      </c>
      <c r="U99" s="23" t="n">
        <f aca="false">(S100-S98)/2*0.000000001</f>
        <v>1.86143E-007</v>
      </c>
      <c r="V99" s="23" t="n">
        <f aca="false">PI()*2*hP*cL^2/(S99*0.000000001)^5/(EXP(hP*cL/(S99*0.000000001*kB*$B$6))-1)</f>
        <v>1961886245983.88</v>
      </c>
    </row>
    <row r="100" customFormat="false" ht="15" hidden="false" customHeight="false" outlineLevel="0" collapsed="false">
      <c r="E100" s="23" t="n">
        <f aca="false">INDEX(Data!$A$4:$A$74,70)</f>
        <v>25.8366046332408</v>
      </c>
      <c r="F100" s="17" t="n">
        <f aca="false">INDEX(Data!$B$4:$B$74,70)</f>
        <v>0.710427832914435</v>
      </c>
      <c r="G100" s="31" t="n">
        <f aca="false">INDEX(Data!$C$4:$C$74,70)</f>
        <v>2.16642030482381E-013</v>
      </c>
      <c r="H100" s="23" t="n">
        <f aca="false">(E101-E99)/2</f>
        <v>3.87449768376007</v>
      </c>
      <c r="I100" s="20" t="n">
        <f aca="false">$B$6*(0.75*(E100+F100))^0.25</f>
        <v>12192.5805521751</v>
      </c>
      <c r="J100" s="20" t="n">
        <f aca="false">$B$6*(0.75*(E100+2/3))^0.25</f>
        <v>12187.552761483</v>
      </c>
      <c r="K100" s="23" t="n">
        <f aca="false">2*hP*cL^2/($B$7*0.000000001)^5/(EXP(hP*cL/($B$7*0.000000001*kB*I100))-1)</f>
        <v>397351189164898</v>
      </c>
      <c r="S100" s="22" t="n">
        <v>2791.328</v>
      </c>
      <c r="T100" s="23" t="n">
        <f aca="false">2*PI()*SUMPRODUCT(2*hP*cL^2/(S100*0.000000001)^5/(EXP(hP*cL/(S100*0.000000001*kB*$I$31:$I$101))-1),$G$31:$G$101,$H$31:$H$101)</f>
        <v>1483927915125.46</v>
      </c>
      <c r="U100" s="23" t="n">
        <f aca="false">(S101-S99)/2*0.000000001</f>
        <v>1.999545E-007</v>
      </c>
      <c r="V100" s="23" t="n">
        <f aca="false">PI()*2*hP*cL^2/(S100*0.000000001)^5/(EXP(hP*cL/(S100*0.000000001*kB*$B$6))-1)</f>
        <v>1530791790438.69</v>
      </c>
    </row>
    <row r="101" customFormat="false" ht="15" hidden="false" customHeight="false" outlineLevel="0" collapsed="false">
      <c r="E101" s="23" t="n">
        <f aca="false">INDEX(Data!$A$4:$A$74,71)</f>
        <v>30</v>
      </c>
      <c r="F101" s="17" t="n">
        <f aca="false">INDEX(Data!$B$4:$B$74,71)</f>
        <v>0.710446089999998</v>
      </c>
      <c r="G101" s="31" t="n">
        <f aca="false">INDEX(Data!$C$4:$C$74,71)</f>
        <v>2.92966936773738E-015</v>
      </c>
      <c r="H101" s="23" t="n">
        <f aca="false">(E101-E100)/2</f>
        <v>2.08169768337963</v>
      </c>
      <c r="I101" s="20" t="n">
        <f aca="false">$B$6*(0.75*(E101+F101))^0.25</f>
        <v>12644.8350816395</v>
      </c>
      <c r="J101" s="20" t="n">
        <f aca="false">$B$6*(0.75*(E101+2/3))^0.25</f>
        <v>12640.3261942634</v>
      </c>
      <c r="K101" s="23" t="n">
        <f aca="false">2*hP*cL^2/($B$7*0.000000001)^5/(EXP(hP*cL/($B$7*0.000000001*kB*I101))-1)</f>
        <v>436354926091955</v>
      </c>
      <c r="S101" s="22" t="n">
        <v>2998.435</v>
      </c>
      <c r="T101" s="23" t="n">
        <f aca="false">2*PI()*SUMPRODUCT(2*hP*cL^2/(S101*0.000000001)^5/(EXP(hP*cL/(S101*0.000000001*kB*$I$31:$I$101))-1),$G$31:$G$101,$H$31:$H$101)</f>
        <v>1155283631863.61</v>
      </c>
      <c r="U101" s="23" t="n">
        <f aca="false">(S102-S100)/2*0.000000001</f>
        <v>2.147905E-007</v>
      </c>
      <c r="V101" s="23" t="n">
        <f aca="false">PI()*2*hP*cL^2/(S101*0.000000001)^5/(EXP(hP*cL/(S101*0.000000001*kB*$B$6))-1)</f>
        <v>1190902652224.62</v>
      </c>
    </row>
    <row r="102" customFormat="false" ht="15" hidden="false" customHeight="false" outlineLevel="0" collapsed="false">
      <c r="S102" s="22" t="n">
        <v>3220.909</v>
      </c>
      <c r="T102" s="23" t="n">
        <f aca="false">2*PI()*SUMPRODUCT(2*hP*cL^2/(S102*0.000000001)^5/(EXP(hP*cL/(S102*0.000000001*kB*$I$31:$I$101))-1),$G$31:$G$101,$H$31:$H$101)</f>
        <v>896953645441.247</v>
      </c>
      <c r="U102" s="23" t="n">
        <f aca="false">(S103-S101)/2*0.000000001</f>
        <v>2.307275E-007</v>
      </c>
      <c r="V102" s="23" t="n">
        <f aca="false">PI()*2*hP*cL^2/(S102*0.000000001)^5/(EXP(hP*cL/(S102*0.000000001*kB*$B$6))-1)</f>
        <v>923974913644.792</v>
      </c>
    </row>
    <row r="103" customFormat="false" ht="15" hidden="false" customHeight="false" outlineLevel="0" collapsed="false">
      <c r="S103" s="22" t="n">
        <v>3459.89</v>
      </c>
      <c r="T103" s="23" t="n">
        <f aca="false">2*PI()*SUMPRODUCT(2*hP*cL^2/(S103*0.000000001)^5/(EXP(hP*cL/(S103*0.000000001*kB*$I$31:$I$101))-1),$G$31:$G$101,$H$31:$H$101)</f>
        <v>694630930880.14</v>
      </c>
      <c r="U103" s="23" t="n">
        <f aca="false">(S104-S102)/2*0.000000001</f>
        <v>2.478465E-007</v>
      </c>
      <c r="V103" s="23" t="n">
        <f aca="false">PI()*2*hP*cL^2/(S103*0.000000001)^5/(EXP(hP*cL/(S103*0.000000001*kB*$B$6))-1)</f>
        <v>715096555021.409</v>
      </c>
    </row>
    <row r="104" customFormat="false" ht="15" hidden="false" customHeight="false" outlineLevel="0" collapsed="false">
      <c r="S104" s="22" t="n">
        <v>3716.602</v>
      </c>
      <c r="T104" s="23" t="n">
        <f aca="false">2*PI()*SUMPRODUCT(2*hP*cL^2/(S104*0.000000001)^5/(EXP(hP*cL/(S104*0.000000001*kB*$I$31:$I$101))-1),$G$31:$G$101,$H$31:$H$101)</f>
        <v>536697945149.734</v>
      </c>
      <c r="U104" s="23" t="n">
        <f aca="false">(S105-S103)/2*0.000000001</f>
        <v>2.662355E-007</v>
      </c>
      <c r="V104" s="23" t="n">
        <f aca="false">PI()*2*hP*cL^2/(S104*0.000000001)^5/(EXP(hP*cL/(S104*0.000000001*kB*$B$6))-1)</f>
        <v>552176846091.375</v>
      </c>
    </row>
    <row r="105" customFormat="false" ht="15" hidden="false" customHeight="false" outlineLevel="0" collapsed="false">
      <c r="S105" s="22" t="n">
        <v>3992.361</v>
      </c>
      <c r="T105" s="23" t="n">
        <f aca="false">2*PI()*SUMPRODUCT(2*hP*cL^2/(S105*0.000000001)^5/(EXP(hP*cL/(S105*0.000000001*kB*$I$31:$I$101))-1),$G$31:$G$101,$H$31:$H$101)</f>
        <v>413788286443.935</v>
      </c>
      <c r="U105" s="23" t="n">
        <f aca="false">(S106-S104)/2*0.000000001</f>
        <v>2.859895E-007</v>
      </c>
      <c r="V105" s="23" t="n">
        <f aca="false">PI()*2*hP*cL^2/(S105*0.000000001)^5/(EXP(hP*cL/(S105*0.000000001*kB*$B$6))-1)</f>
        <v>425481597062.075</v>
      </c>
    </row>
    <row r="106" customFormat="false" ht="15" hidden="false" customHeight="false" outlineLevel="0" collapsed="false">
      <c r="S106" s="22" t="n">
        <v>4288.581</v>
      </c>
      <c r="T106" s="23" t="n">
        <f aca="false">2*PI()*SUMPRODUCT(2*hP*cL^2/(S106*0.000000001)^5/(EXP(hP*cL/(S106*0.000000001*kB*$I$31:$I$101))-1),$G$31:$G$101,$H$31:$H$101)</f>
        <v>318399641040.646</v>
      </c>
      <c r="U106" s="23" t="n">
        <f aca="false">(S107-S105)/2*0.000000001</f>
        <v>3.07209E-007</v>
      </c>
      <c r="V106" s="23" t="n">
        <f aca="false">PI()*2*hP*cL^2/(S106*0.000000001)^5/(EXP(hP*cL/(S106*0.000000001*kB*$B$6))-1)</f>
        <v>327224173597.645</v>
      </c>
    </row>
    <row r="107" customFormat="false" ht="15" hidden="false" customHeight="false" outlineLevel="0" collapsed="false">
      <c r="S107" s="22" t="n">
        <v>4606.779</v>
      </c>
      <c r="T107" s="23" t="n">
        <f aca="false">2*PI()*SUMPRODUCT(2*hP*cL^2/(S107*0.000000001)^5/(EXP(hP*cL/(S107*0.000000001*kB*$I$31:$I$101))-1),$G$31:$G$101,$H$31:$H$101)</f>
        <v>244557574908.843</v>
      </c>
      <c r="U107" s="23" t="n">
        <f aca="false">(S108-S106)/2*0.000000001</f>
        <v>3.30003E-007</v>
      </c>
      <c r="V107" s="23" t="n">
        <f aca="false">PI()*2*hP*cL^2/(S107*0.000000001)^5/(EXP(hP*cL/(S107*0.000000001*kB*$B$6))-1)</f>
        <v>251211349055.607</v>
      </c>
    </row>
    <row r="108" customFormat="false" ht="15" hidden="false" customHeight="false" outlineLevel="0" collapsed="false">
      <c r="S108" s="22" t="n">
        <v>4948.587</v>
      </c>
      <c r="T108" s="23" t="n">
        <f aca="false">2*PI()*SUMPRODUCT(2*hP*cL^2/(S108*0.000000001)^5/(EXP(hP*cL/(S108*0.000000001*kB*$I$31:$I$101))-1),$G$31:$G$101,$H$31:$H$101)</f>
        <v>187527631470.364</v>
      </c>
      <c r="U108" s="23" t="n">
        <f aca="false">(S109-S107)/2*0.000000001</f>
        <v>3.54488E-007</v>
      </c>
      <c r="V108" s="23" t="n">
        <f aca="false">PI()*2*hP*cL^2/(S108*0.000000001)^5/(EXP(hP*cL/(S108*0.000000001*kB*$B$6))-1)</f>
        <v>192540912443.886</v>
      </c>
    </row>
    <row r="109" customFormat="false" ht="15" hidden="false" customHeight="false" outlineLevel="0" collapsed="false">
      <c r="S109" s="22" t="n">
        <v>5315.755</v>
      </c>
      <c r="T109" s="23" t="n">
        <f aca="false">2*PI()*SUMPRODUCT(2*hP*cL^2/(S109*0.000000001)^5/(EXP(hP*cL/(S109*0.000000001*kB*$I$31:$I$101))-1),$G$31:$G$101,$H$31:$H$101)</f>
        <v>143576128688.443</v>
      </c>
      <c r="U109" s="23" t="n">
        <f aca="false">(S110-S108)/2*0.000000001</f>
        <v>3.807895E-007</v>
      </c>
      <c r="V109" s="23" t="n">
        <f aca="false">PI()*2*hP*cL^2/(S109*0.000000001)^5/(EXP(hP*cL/(S109*0.000000001*kB*$B$6))-1)</f>
        <v>147351004298.889</v>
      </c>
    </row>
    <row r="110" customFormat="false" ht="15" hidden="false" customHeight="false" outlineLevel="0" collapsed="false">
      <c r="S110" s="22" t="n">
        <v>5710.166</v>
      </c>
      <c r="T110" s="23" t="n">
        <f aca="false">2*PI()*SUMPRODUCT(2*hP*cL^2/(S110*0.000000001)^5/(EXP(hP*cL/(S110*0.000000001*kB*$I$31:$I$101))-1),$G$31:$G$101,$H$31:$H$101)</f>
        <v>109769956502.379</v>
      </c>
      <c r="U110" s="23" t="n">
        <f aca="false">(S111-S109)/2*0.000000001</f>
        <v>4.09043E-007</v>
      </c>
      <c r="V110" s="23" t="n">
        <f aca="false">PI()*2*hP*cL^2/(S110*0.000000001)^5/(EXP(hP*cL/(S110*0.000000001*kB*$B$6))-1)</f>
        <v>112610824779.245</v>
      </c>
    </row>
    <row r="111" customFormat="false" ht="15" hidden="false" customHeight="false" outlineLevel="0" collapsed="false">
      <c r="S111" s="22" t="n">
        <v>6133.841</v>
      </c>
      <c r="T111" s="23" t="n">
        <f aca="false">2*PI()*SUMPRODUCT(2*hP*cL^2/(S111*0.000000001)^5/(EXP(hP*cL/(S111*0.000000001*kB*$I$31:$I$101))-1),$G$31:$G$101,$H$31:$H$101)</f>
        <v>83814025702.9698</v>
      </c>
      <c r="U111" s="23" t="n">
        <f aca="false">(S112-S110)/2*0.000000001</f>
        <v>4.393925E-007</v>
      </c>
      <c r="V111" s="23" t="n">
        <f aca="false">PI()*2*hP*cL^2/(S111*0.000000001)^5/(EXP(hP*cL/(S111*0.000000001*kB*$B$6))-1)</f>
        <v>85951020383.6112</v>
      </c>
    </row>
    <row r="112" customFormat="false" ht="15" hidden="false" customHeight="false" outlineLevel="0" collapsed="false">
      <c r="S112" s="22" t="n">
        <v>6588.951</v>
      </c>
      <c r="T112" s="23" t="n">
        <f aca="false">2*PI()*SUMPRODUCT(2*hP*cL^2/(S112*0.000000001)^5/(EXP(hP*cL/(S112*0.000000001*kB*$I$31:$I$101))-1),$G$31:$G$101,$H$31:$H$101)</f>
        <v>63918352884.489</v>
      </c>
      <c r="U112" s="23" t="n">
        <f aca="false">(S113-S111)/2*0.000000001</f>
        <v>4.71994E-007</v>
      </c>
      <c r="V112" s="23" t="n">
        <f aca="false">PI()*2*hP*cL^2/(S112*0.000000001)^5/(EXP(hP*cL/(S112*0.000000001*kB*$B$6))-1)</f>
        <v>65525259626.3863</v>
      </c>
    </row>
    <row r="113" customFormat="false" ht="15" hidden="false" customHeight="false" outlineLevel="0" collapsed="false">
      <c r="S113" s="22" t="n">
        <v>7077.829</v>
      </c>
      <c r="T113" s="23" t="n">
        <f aca="false">2*PI()*SUMPRODUCT(2*hP*cL^2/(S113*0.000000001)^5/(EXP(hP*cL/(S113*0.000000001*kB*$I$31:$I$101))-1),$G$31:$G$101,$H$31:$H$101)</f>
        <v>48691148028.7492</v>
      </c>
      <c r="U113" s="23" t="n">
        <f aca="false">(S114-S112)/2*0.000000001</f>
        <v>5.070145E-007</v>
      </c>
      <c r="V113" s="23" t="n">
        <f aca="false">PI()*2*hP*cL^2/(S113*0.000000001)^5/(EXP(hP*cL/(S113*0.000000001*kB*$B$6))-1)</f>
        <v>49899070889.7288</v>
      </c>
    </row>
    <row r="114" customFormat="false" ht="15" hidden="false" customHeight="false" outlineLevel="0" collapsed="false">
      <c r="S114" s="22" t="n">
        <v>7602.98</v>
      </c>
      <c r="T114" s="23" t="n">
        <f aca="false">2*PI()*SUMPRODUCT(2*hP*cL^2/(S114*0.000000001)^5/(EXP(hP*cL/(S114*0.000000001*kB*$I$31:$I$101))-1),$G$31:$G$101,$H$31:$H$101)</f>
        <v>37053302793.9214</v>
      </c>
      <c r="U114" s="23" t="n">
        <f aca="false">(S115-S113)/2*0.000000001</f>
        <v>5.446335E-007</v>
      </c>
      <c r="V114" s="23" t="n">
        <f aca="false">PI()*2*hP*cL^2/(S114*0.000000001)^5/(EXP(hP*cL/(S114*0.000000001*kB*$B$6))-1)</f>
        <v>37961064688.5908</v>
      </c>
    </row>
    <row r="115" customFormat="false" ht="15" hidden="false" customHeight="false" outlineLevel="0" collapsed="false">
      <c r="S115" s="22" t="n">
        <v>8167.096</v>
      </c>
      <c r="T115" s="23" t="n">
        <f aca="false">2*PI()*SUMPRODUCT(2*hP*cL^2/(S115*0.000000001)^5/(EXP(hP*cL/(S115*0.000000001*kB*$I$31:$I$101))-1),$G$31:$G$101,$H$31:$H$101)</f>
        <v>28170203708.4607</v>
      </c>
      <c r="U115" s="23" t="n">
        <f aca="false">(S116-S114)/2*0.000000001</f>
        <v>5.850435E-007</v>
      </c>
      <c r="V115" s="23" t="n">
        <f aca="false">PI()*2*hP*cL^2/(S115*0.000000001)^5/(EXP(hP*cL/(S115*0.000000001*kB*$B$6))-1)</f>
        <v>28852241296.6142</v>
      </c>
    </row>
    <row r="116" customFormat="false" ht="15" hidden="false" customHeight="false" outlineLevel="0" collapsed="false">
      <c r="S116" s="22" t="n">
        <v>8773.067</v>
      </c>
      <c r="T116" s="23" t="n">
        <f aca="false">2*PI()*SUMPRODUCT(2*hP*cL^2/(S116*0.000000001)^5/(EXP(hP*cL/(S116*0.000000001*kB*$I$31:$I$101))-1),$G$31:$G$101,$H$31:$H$101)</f>
        <v>21397868960.9361</v>
      </c>
      <c r="U116" s="23" t="n">
        <f aca="false">(S117-S115)/2*0.000000001</f>
        <v>6.284515E-007</v>
      </c>
      <c r="V116" s="23" t="n">
        <f aca="false">PI()*2*hP*cL^2/(S116*0.000000001)^5/(EXP(hP*cL/(S116*0.000000001*kB*$B$6))-1)</f>
        <v>21910217176.0691</v>
      </c>
    </row>
    <row r="117" customFormat="false" ht="15" hidden="false" customHeight="false" outlineLevel="0" collapsed="false">
      <c r="S117" s="22" t="n">
        <v>9423.999</v>
      </c>
      <c r="T117" s="23" t="n">
        <f aca="false">2*PI()*SUMPRODUCT(2*hP*cL^2/(S117*0.000000001)^5/(EXP(hP*cL/(S117*0.000000001*kB*$I$31:$I$101))-1),$G$31:$G$101,$H$31:$H$101)</f>
        <v>16240412560.8319</v>
      </c>
      <c r="U117" s="23" t="n">
        <f aca="false">(S118-S116)/2*0.000000001</f>
        <v>6.75080000000001E-007</v>
      </c>
      <c r="V117" s="23" t="n">
        <f aca="false">PI()*2*hP*cL^2/(S117*0.000000001)^5/(EXP(hP*cL/(S117*0.000000001*kB*$B$6))-1)</f>
        <v>16625231877.6795</v>
      </c>
    </row>
    <row r="118" customFormat="false" ht="15" hidden="false" customHeight="false" outlineLevel="0" collapsed="false">
      <c r="S118" s="22" t="n">
        <v>10123.227</v>
      </c>
      <c r="T118" s="23" t="n">
        <f aca="false">2*PI()*SUMPRODUCT(2*hP*cL^2/(S118*0.000000001)^5/(EXP(hP*cL/(S118*0.000000001*kB*$I$31:$I$101))-1),$G$31:$G$101,$H$31:$H$101)</f>
        <v>12316749504.1796</v>
      </c>
      <c r="U118" s="23" t="n">
        <f aca="false">(S119-S117)/2*0.000000001</f>
        <v>7.25169E-007</v>
      </c>
      <c r="V118" s="23" t="n">
        <f aca="false">PI()*2*hP*cL^2/(S118*0.000000001)^5/(EXP(hP*cL/(S118*0.000000001*kB*$B$6))-1)</f>
        <v>12605747972.6909</v>
      </c>
    </row>
    <row r="119" customFormat="false" ht="15" hidden="false" customHeight="false" outlineLevel="0" collapsed="false">
      <c r="S119" s="22" t="n">
        <v>10874.337</v>
      </c>
      <c r="T119" s="23" t="n">
        <f aca="false">2*PI()*SUMPRODUCT(2*hP*cL^2/(S119*0.000000001)^5/(EXP(hP*cL/(S119*0.000000001*kB*$I$31:$I$101))-1),$G$31:$G$101,$H$31:$H$101)</f>
        <v>9334510403.98083</v>
      </c>
      <c r="U119" s="23" t="n">
        <f aca="false">(S120-S118)/2*0.000000001</f>
        <v>7.78974499999999E-007</v>
      </c>
      <c r="V119" s="23" t="n">
        <f aca="false">PI()*2*hP*cL^2/(S119*0.000000001)^5/(EXP(hP*cL/(S119*0.000000001*kB*$B$6))-1)</f>
        <v>9551526104.42988</v>
      </c>
    </row>
    <row r="120" customFormat="false" ht="15" hidden="false" customHeight="false" outlineLevel="0" collapsed="false">
      <c r="S120" s="22" t="n">
        <v>11681.176</v>
      </c>
      <c r="T120" s="23" t="n">
        <f aca="false">2*PI()*SUMPRODUCT(2*hP*cL^2/(S120*0.000000001)^5/(EXP(hP*cL/(S120*0.000000001*kB*$I$31:$I$101))-1),$G$31:$G$101,$H$31:$H$101)</f>
        <v>7069784053.138</v>
      </c>
      <c r="U120" s="23" t="n">
        <f aca="false">(S121-S119)/2*0.000000001</f>
        <v>8.36771000000001E-007</v>
      </c>
      <c r="V120" s="23" t="n">
        <f aca="false">PI()*2*hP*cL^2/(S120*0.000000001)^5/(EXP(hP*cL/(S120*0.000000001*kB*$B$6))-1)</f>
        <v>7232733492.90322</v>
      </c>
    </row>
    <row r="121" customFormat="false" ht="15" hidden="false" customHeight="false" outlineLevel="0" collapsed="false">
      <c r="S121" s="22" t="n">
        <v>12547.879</v>
      </c>
      <c r="T121" s="23" t="n">
        <f aca="false">2*PI()*SUMPRODUCT(2*hP*cL^2/(S121*0.000000001)^5/(EXP(hP*cL/(S121*0.000000001*kB*$I$31:$I$101))-1),$G$31:$G$101,$H$31:$H$101)</f>
        <v>5351315428.27379</v>
      </c>
      <c r="U121" s="23" t="n">
        <f aca="false">(S122-S120)/2*0.000000001</f>
        <v>8.98857E-007</v>
      </c>
      <c r="V121" s="23" t="n">
        <f aca="false">PI()*2*hP*cL^2/(S121*0.000000001)^5/(EXP(hP*cL/(S121*0.000000001*kB*$B$6))-1)</f>
        <v>5473660947.54233</v>
      </c>
    </row>
    <row r="122" customFormat="false" ht="15" hidden="false" customHeight="false" outlineLevel="0" collapsed="false">
      <c r="S122" s="22" t="n">
        <v>13478.89</v>
      </c>
      <c r="T122" s="23" t="n">
        <f aca="false">2*PI()*SUMPRODUCT(2*hP*cL^2/(S122*0.000000001)^5/(EXP(hP*cL/(S122*0.000000001*kB*$I$31:$I$101))-1),$G$31:$G$101,$H$31:$H$101)</f>
        <v>4048307714.306</v>
      </c>
      <c r="U122" s="23" t="n">
        <f aca="false">(S123-S121)/2*0.000000001</f>
        <v>9.65549499999999E-007</v>
      </c>
      <c r="V122" s="23" t="n">
        <f aca="false">PI()*2*hP*cL^2/(S122*0.000000001)^5/(EXP(hP*cL/(S122*0.000000001*kB*$B$6))-1)</f>
        <v>4140162688.26626</v>
      </c>
    </row>
    <row r="123" customFormat="false" ht="15" hidden="false" customHeight="false" outlineLevel="0" collapsed="false">
      <c r="S123" s="22" t="n">
        <v>14478.978</v>
      </c>
      <c r="T123" s="23" t="n">
        <f aca="false">2*PI()*SUMPRODUCT(2*hP*cL^2/(S123*0.000000001)^5/(EXP(hP*cL/(S123*0.000000001*kB*$I$31:$I$101))-1),$G$31:$G$101,$H$31:$H$101)</f>
        <v>3060997412.88598</v>
      </c>
      <c r="U123" s="23" t="n">
        <f aca="false">(S124-S122)/2*0.000000001</f>
        <v>1.0371895E-006</v>
      </c>
      <c r="V123" s="23" t="n">
        <f aca="false">PI()*2*hP*cL^2/(S123*0.000000001)^5/(EXP(hP*cL/(S123*0.000000001*kB*$B$6))-1)</f>
        <v>3129958208.5327</v>
      </c>
    </row>
    <row r="124" customFormat="false" ht="15" hidden="false" customHeight="false" outlineLevel="0" collapsed="false">
      <c r="S124" s="22" t="n">
        <v>15553.269</v>
      </c>
      <c r="T124" s="23" t="n">
        <f aca="false">2*PI()*SUMPRODUCT(2*hP*cL^2/(S124*0.000000001)^5/(EXP(hP*cL/(S124*0.000000001*kB*$I$31:$I$101))-1),$G$31:$G$101,$H$31:$H$101)</f>
        <v>2313369805.58705</v>
      </c>
      <c r="U124" s="23" t="n">
        <f aca="false">(S125-S123)/2*0.000000001</f>
        <v>1.1141455E-006</v>
      </c>
      <c r="V124" s="23" t="n">
        <f aca="false">PI()*2*hP*cL^2/(S124*0.000000001)^5/(EXP(hP*cL/(S124*0.000000001*kB*$B$6))-1)</f>
        <v>2365141348.84349</v>
      </c>
    </row>
    <row r="125" customFormat="false" ht="15" hidden="false" customHeight="false" outlineLevel="0" collapsed="false">
      <c r="S125" s="22" t="n">
        <v>16707.269</v>
      </c>
      <c r="T125" s="23" t="n">
        <f aca="false">2*PI()*SUMPRODUCT(2*hP*cL^2/(S125*0.000000001)^5/(EXP(hP*cL/(S125*0.000000001*kB*$I$31:$I$101))-1),$G$31:$G$101,$H$31:$H$101)</f>
        <v>1747570917.90499</v>
      </c>
      <c r="U125" s="23" t="n">
        <f aca="false">(S126-S124)/2*0.000000001</f>
        <v>1.1968115E-006</v>
      </c>
      <c r="V125" s="23" t="n">
        <f aca="false">PI()*2*hP*cL^2/(S125*0.000000001)^5/(EXP(hP*cL/(S125*0.000000001*kB*$B$6))-1)</f>
        <v>1786437184.42233</v>
      </c>
    </row>
    <row r="126" customFormat="false" ht="15" hidden="false" customHeight="false" outlineLevel="0" collapsed="false">
      <c r="S126" s="22" t="n">
        <v>17946.892</v>
      </c>
      <c r="T126" s="23" t="n">
        <f aca="false">2*PI()*SUMPRODUCT(2*hP*cL^2/(S126*0.000000001)^5/(EXP(hP*cL/(S126*0.000000001*kB*$I$31:$I$101))-1),$G$31:$G$101,$H$31:$H$101)</f>
        <v>1319611580.97545</v>
      </c>
      <c r="U126" s="23" t="n">
        <f aca="false">(S127-S125)/2*0.000000001</f>
        <v>1.2856105E-006</v>
      </c>
      <c r="V126" s="23" t="n">
        <f aca="false">PI()*2*hP*cL^2/(S126*0.000000001)^5/(EXP(hP*cL/(S126*0.000000001*kB*$B$6))-1)</f>
        <v>1348789239.5239</v>
      </c>
    </row>
    <row r="127" customFormat="false" ht="15" hidden="false" customHeight="false" outlineLevel="0" collapsed="false">
      <c r="S127" s="22" t="n">
        <v>19278.49</v>
      </c>
      <c r="T127" s="23" t="n">
        <f aca="false">2*PI()*SUMPRODUCT(2*hP*cL^2/(S127*0.000000001)^5/(EXP(hP*cL/(S127*0.000000001*kB*$I$31:$I$101))-1),$G$31:$G$101,$H$31:$H$101)</f>
        <v>996074758.77383</v>
      </c>
      <c r="U127" s="23" t="n">
        <f aca="false">(S128-S126)/2*0.000000001</f>
        <v>1.3809985E-006</v>
      </c>
      <c r="V127" s="23" t="n">
        <f aca="false">PI()*2*hP*cL^2/(S127*0.000000001)^5/(EXP(hP*cL/(S127*0.000000001*kB*$B$6))-1)</f>
        <v>1017978914.39266</v>
      </c>
    </row>
    <row r="128" customFormat="false" ht="15" hidden="false" customHeight="false" outlineLevel="0" collapsed="false">
      <c r="S128" s="22" t="n">
        <v>20708.889</v>
      </c>
      <c r="T128" s="23" t="n">
        <f aca="false">2*PI()*SUMPRODUCT(2*hP*cL^2/(S128*0.000000001)^5/(EXP(hP*cL/(S128*0.000000001*kB*$I$31:$I$101))-1),$G$31:$G$101,$H$31:$H$101)</f>
        <v>751595209.215927</v>
      </c>
      <c r="U128" s="23" t="n">
        <f aca="false">(S129-S127)/2*0.000000001</f>
        <v>1.4834645E-006</v>
      </c>
      <c r="V128" s="23" t="n">
        <f aca="false">PI()*2*hP*cL^2/(S128*0.000000001)^5/(EXP(hP*cL/(S128*0.000000001*kB*$B$6))-1)</f>
        <v>768039037.133305</v>
      </c>
    </row>
    <row r="129" customFormat="false" ht="15" hidden="false" customHeight="false" outlineLevel="0" collapsed="false">
      <c r="S129" s="22" t="n">
        <v>22245.419</v>
      </c>
      <c r="T129" s="23" t="n">
        <f aca="false">2*PI()*SUMPRODUCT(2*hP*cL^2/(S129*0.000000001)^5/(EXP(hP*cL/(S129*0.000000001*kB*$I$31:$I$101))-1),$G$31:$G$101,$H$31:$H$101)</f>
        <v>566935176.452276</v>
      </c>
      <c r="U129" s="23" t="n">
        <f aca="false">(S130-S128)/2*0.000000001</f>
        <v>1.5935325E-006</v>
      </c>
      <c r="V129" s="23" t="n">
        <f aca="false">PI()*2*hP*cL^2/(S129*0.000000001)^5/(EXP(hP*cL/(S129*0.000000001*kB*$B$6))-1)</f>
        <v>579279899.680285</v>
      </c>
    </row>
    <row r="130" customFormat="false" ht="15" hidden="false" customHeight="false" outlineLevel="0" collapsed="false">
      <c r="S130" s="22" t="n">
        <v>23895.954</v>
      </c>
      <c r="T130" s="23" t="n">
        <f aca="false">2*PI()*SUMPRODUCT(2*hP*cL^2/(S130*0.000000001)^5/(EXP(hP*cL/(S130*0.000000001*kB*$I$31:$I$101))-1),$G$31:$G$101,$H$31:$H$101)</f>
        <v>427514041.470436</v>
      </c>
      <c r="U130" s="23" t="n">
        <f aca="false">(S131-S129)/2*0.000000001</f>
        <v>1.711767E-006</v>
      </c>
      <c r="V130" s="23" t="n">
        <f aca="false">PI()*2*hP*cL^2/(S130*0.000000001)^5/(EXP(hP*cL/(S130*0.000000001*kB*$B$6))-1)</f>
        <v>436781553.632031</v>
      </c>
    </row>
    <row r="131" customFormat="false" ht="15" hidden="false" customHeight="false" outlineLevel="0" collapsed="false">
      <c r="S131" s="22" t="n">
        <v>25668.953</v>
      </c>
      <c r="T131" s="23" t="n">
        <f aca="false">2*PI()*SUMPRODUCT(2*hP*cL^2/(S131*0.000000001)^5/(EXP(hP*cL/(S131*0.000000001*kB*$I$31:$I$101))-1),$G$31:$G$101,$H$31:$H$101)</f>
        <v>322288177.202813</v>
      </c>
      <c r="U131" s="23" t="n">
        <f aca="false">(S132-S130)/2*0.000000001</f>
        <v>1.838774E-006</v>
      </c>
      <c r="V131" s="23" t="n">
        <f aca="false">PI()*2*hP*cL^2/(S131*0.000000001)^5/(EXP(hP*cL/(S131*0.000000001*kB*$B$6))-1)</f>
        <v>329245615.298131</v>
      </c>
    </row>
    <row r="132" customFormat="false" ht="15" hidden="false" customHeight="false" outlineLevel="0" collapsed="false">
      <c r="S132" s="22" t="n">
        <v>27573.502</v>
      </c>
      <c r="T132" s="23" t="n">
        <f aca="false">2*PI()*SUMPRODUCT(2*hP*cL^2/(S132*0.000000001)^5/(EXP(hP*cL/(S132*0.000000001*kB*$I$31:$I$101))-1),$G$31:$G$101,$H$31:$H$101)</f>
        <v>242898123.41893</v>
      </c>
      <c r="U132" s="23" t="n">
        <f aca="false">(S133-S131)/2*0.000000001</f>
        <v>1.975205E-006</v>
      </c>
      <c r="V132" s="23" t="n">
        <f aca="false">PI()*2*hP*cL^2/(S132*0.000000001)^5/(EXP(hP*cL/(S132*0.000000001*kB*$B$6))-1)</f>
        <v>248121372.418392</v>
      </c>
    </row>
    <row r="133" customFormat="false" ht="15" hidden="false" customHeight="false" outlineLevel="0" collapsed="false">
      <c r="S133" s="22" t="n">
        <v>29619.363</v>
      </c>
      <c r="T133" s="23" t="n">
        <f aca="false">2*PI()*SUMPRODUCT(2*hP*cL^2/(S133*0.000000001)^5/(EXP(hP*cL/(S133*0.000000001*kB*$I$31:$I$101))-1),$G$31:$G$101,$H$31:$H$101)</f>
        <v>183019671.013909</v>
      </c>
      <c r="U133" s="23" t="n">
        <f aca="false">(S134-S132)/2*0.000000001</f>
        <v>2.121759E-006</v>
      </c>
      <c r="V133" s="23" t="n">
        <f aca="false">PI()*2*hP*cL^2/(S133*0.000000001)^5/(EXP(hP*cL/(S133*0.000000001*kB*$B$6))-1)</f>
        <v>186941040.84806</v>
      </c>
    </row>
    <row r="134" customFormat="false" ht="15" hidden="false" customHeight="false" outlineLevel="0" collapsed="false">
      <c r="S134" s="22" t="n">
        <v>31817.02</v>
      </c>
      <c r="T134" s="23" t="n">
        <f aca="false">2*PI()*SUMPRODUCT(2*hP*cL^2/(S134*0.000000001)^5/(EXP(hP*cL/(S134*0.000000001*kB*$I$31:$I$101))-1),$G$31:$G$101,$H$31:$H$101)</f>
        <v>137870956.46681</v>
      </c>
      <c r="U134" s="23" t="n">
        <f aca="false">(S135-S133)/2*0.000000001</f>
        <v>2.279186E-006</v>
      </c>
      <c r="V134" s="23" t="n">
        <f aca="false">PI()*2*hP*cL^2/(S134*0.000000001)^5/(EXP(hP*cL/(S134*0.000000001*kB*$B$6))-1)</f>
        <v>140814978.484008</v>
      </c>
    </row>
    <row r="135" customFormat="false" ht="15" hidden="false" customHeight="false" outlineLevel="0" collapsed="false">
      <c r="S135" s="22" t="n">
        <v>34177.735</v>
      </c>
      <c r="T135" s="23" t="n">
        <f aca="false">2*PI()*SUMPRODUCT(2*hP*cL^2/(S135*0.000000001)^5/(EXP(hP*cL/(S135*0.000000001*kB*$I$31:$I$101))-1),$G$31:$G$101,$H$31:$H$101)</f>
        <v>103837980.487707</v>
      </c>
      <c r="U135" s="23" t="n">
        <f aca="false">(S136-S134)/2*0.000000001</f>
        <v>2.4482935E-006</v>
      </c>
      <c r="V135" s="23" t="n">
        <f aca="false">PI()*2*hP*cL^2/(S135*0.000000001)^5/(EXP(hP*cL/(S135*0.000000001*kB*$B$6))-1)</f>
        <v>106048278.363355</v>
      </c>
    </row>
    <row r="136" customFormat="false" ht="15" hidden="false" customHeight="false" outlineLevel="0" collapsed="false">
      <c r="S136" s="22" t="n">
        <v>36713.607</v>
      </c>
      <c r="T136" s="23" t="n">
        <f aca="false">2*PI()*SUMPRODUCT(2*hP*cL^2/(S136*0.000000001)^5/(EXP(hP*cL/(S136*0.000000001*kB*$I$31:$I$101))-1),$G$31:$G$101,$H$31:$H$101)</f>
        <v>78190599.876553</v>
      </c>
      <c r="U136" s="23" t="n">
        <f aca="false">(S137-S135)/2*0.000000001</f>
        <v>2.629949E-006</v>
      </c>
      <c r="V136" s="23" t="n">
        <f aca="false">PI()*2*hP*cL^2/(S136*0.000000001)^5/(EXP(hP*cL/(S136*0.000000001*kB*$B$6))-1)</f>
        <v>79850061.4494609</v>
      </c>
    </row>
    <row r="137" customFormat="false" ht="15" hidden="false" customHeight="false" outlineLevel="0" collapsed="false">
      <c r="S137" s="22" t="n">
        <v>39437.633</v>
      </c>
      <c r="T137" s="23" t="n">
        <f aca="false">2*PI()*SUMPRODUCT(2*hP*cL^2/(S137*0.000000001)^5/(EXP(hP*cL/(S137*0.000000001*kB*$I$31:$I$101))-1),$G$31:$G$101,$H$31:$H$101)</f>
        <v>58867242.3936558</v>
      </c>
      <c r="U137" s="23" t="n">
        <f aca="false">(S138-S136)/2*0.000000001</f>
        <v>2.8250825E-006</v>
      </c>
      <c r="V137" s="23" t="n">
        <f aca="false">PI()*2*hP*cL^2/(S137*0.000000001)^5/(EXP(hP*cL/(S137*0.000000001*kB*$B$6))-1)</f>
        <v>60113162.7280302</v>
      </c>
    </row>
    <row r="138" customFormat="false" ht="15" hidden="false" customHeight="false" outlineLevel="0" collapsed="false">
      <c r="S138" s="22" t="n">
        <v>42363.772</v>
      </c>
      <c r="T138" s="23" t="n">
        <f aca="false">2*PI()*SUMPRODUCT(2*hP*cL^2/(S138*0.000000001)^5/(EXP(hP*cL/(S138*0.000000001*kB*$I$31:$I$101))-1),$G$31:$G$101,$H$31:$H$101)</f>
        <v>44311791.9208009</v>
      </c>
      <c r="U138" s="23" t="n">
        <f aca="false">(S139-S137)/2*0.000000001</f>
        <v>3.034694E-006</v>
      </c>
      <c r="V138" s="23" t="n">
        <f aca="false">PI()*2*hP*cL^2/(S138*0.000000001)^5/(EXP(hP*cL/(S138*0.000000001*kB*$B$6))-1)</f>
        <v>45247240.8752318</v>
      </c>
    </row>
    <row r="139" customFormat="false" ht="15" hidden="false" customHeight="false" outlineLevel="0" collapsed="false">
      <c r="S139" s="22" t="n">
        <v>45507.021</v>
      </c>
      <c r="T139" s="23" t="n">
        <f aca="false">2*PI()*SUMPRODUCT(2*hP*cL^2/(S139*0.000000001)^5/(EXP(hP*cL/(S139*0.000000001*kB*$I$31:$I$101))-1),$G$31:$G$101,$H$31:$H$101)</f>
        <v>33350054.4515107</v>
      </c>
      <c r="U139" s="23" t="n">
        <f aca="false">(S140-S138)/2*0.000000001</f>
        <v>3.259858E-006</v>
      </c>
      <c r="V139" s="23" t="n">
        <f aca="false">PI()*2*hP*cL^2/(S139*0.000000001)^5/(EXP(hP*cL/(S139*0.000000001*kB*$B$6))-1)</f>
        <v>34052409.2675959</v>
      </c>
    </row>
    <row r="140" customFormat="false" ht="15" hidden="false" customHeight="false" outlineLevel="0" collapsed="false">
      <c r="S140" s="22" t="n">
        <v>48883.488</v>
      </c>
      <c r="T140" s="23" t="n">
        <f aca="false">2*PI()*SUMPRODUCT(2*hP*cL^2/(S140*0.000000001)^5/(EXP(hP*cL/(S140*0.000000001*kB*$I$31:$I$101))-1),$G$31:$G$101,$H$31:$H$101)</f>
        <v>25096330.9771608</v>
      </c>
      <c r="U140" s="23" t="n">
        <f aca="false">(S141-S139)/2*0.000000001</f>
        <v>3.501728E-006</v>
      </c>
      <c r="V140" s="23" t="n">
        <f aca="false">PI()*2*hP*cL^2/(S140*0.000000001)^5/(EXP(hP*cL/(S140*0.000000001*kB*$B$6))-1)</f>
        <v>25623681.778453</v>
      </c>
    </row>
    <row r="141" customFormat="false" ht="15" hidden="false" customHeight="false" outlineLevel="0" collapsed="false">
      <c r="S141" s="22" t="n">
        <v>52510.477</v>
      </c>
      <c r="T141" s="23" t="n">
        <f aca="false">2*PI()*SUMPRODUCT(2*hP*cL^2/(S141*0.000000001)^5/(EXP(hP*cL/(S141*0.000000001*kB*$I$31:$I$101))-1),$G$31:$G$101,$H$31:$H$101)</f>
        <v>18882732.0912649</v>
      </c>
      <c r="U141" s="23" t="n">
        <f aca="false">(S142-S140)/2*0.000000001</f>
        <v>3.7615445E-006</v>
      </c>
      <c r="V141" s="23" t="n">
        <f aca="false">PI()*2*hP*cL^2/(S141*0.000000001)^5/(EXP(hP*cL/(S141*0.000000001*kB*$B$6))-1)</f>
        <v>19278690.0538339</v>
      </c>
    </row>
    <row r="142" customFormat="false" ht="15" hidden="false" customHeight="false" outlineLevel="0" collapsed="false">
      <c r="S142" s="22" t="n">
        <v>56406.577</v>
      </c>
      <c r="T142" s="23" t="n">
        <f aca="false">2*PI()*SUMPRODUCT(2*hP*cL^2/(S142*0.000000001)^5/(EXP(hP*cL/(S142*0.000000001*kB*$I$31:$I$101))-1),$G$31:$G$101,$H$31:$H$101)</f>
        <v>14205759.2690719</v>
      </c>
      <c r="U142" s="23" t="n">
        <f aca="false">(S143-S141)/2*0.000000001</f>
        <v>4.040639E-006</v>
      </c>
      <c r="V142" s="23" t="n">
        <f aca="false">PI()*2*hP*cL^2/(S142*0.000000001)^5/(EXP(hP*cL/(S142*0.000000001*kB*$B$6))-1)</f>
        <v>14503066.0148151</v>
      </c>
    </row>
    <row r="143" customFormat="false" ht="15" hidden="false" customHeight="false" outlineLevel="0" collapsed="false">
      <c r="S143" s="22" t="n">
        <v>60591.755</v>
      </c>
      <c r="T143" s="23" t="n">
        <f aca="false">2*PI()*SUMPRODUCT(2*hP*cL^2/(S143*0.000000001)^5/(EXP(hP*cL/(S143*0.000000001*kB*$I$31:$I$101))-1),$G$31:$G$101,$H$31:$H$101)</f>
        <v>10685945.350305</v>
      </c>
      <c r="U143" s="23" t="n">
        <f aca="false">(S144-S142)/2*0.000000001</f>
        <v>4.3404405E-006</v>
      </c>
      <c r="V143" s="23" t="n">
        <f aca="false">PI()*2*hP*cL^2/(S143*0.000000001)^5/(EXP(hP*cL/(S143*0.000000001*kB*$B$6))-1)</f>
        <v>10909182.4974858</v>
      </c>
    </row>
    <row r="144" customFormat="false" ht="15" hidden="false" customHeight="false" outlineLevel="0" collapsed="false">
      <c r="S144" s="22" t="n">
        <v>65087.458</v>
      </c>
      <c r="T144" s="23" t="n">
        <f aca="false">2*PI()*SUMPRODUCT(2*hP*cL^2/(S144*0.000000001)^5/(EXP(hP*cL/(S144*0.000000001*kB*$I$31:$I$101))-1),$G$31:$G$101,$H$31:$H$101)</f>
        <v>8037369.74154944</v>
      </c>
      <c r="U144" s="23" t="n">
        <f aca="false">(S145-S143)/2*0.000000001</f>
        <v>4.662486E-006</v>
      </c>
      <c r="V144" s="23" t="n">
        <f aca="false">PI()*2*hP*cL^2/(S144*0.000000001)^5/(EXP(hP*cL/(S144*0.000000001*kB*$B$6))-1)</f>
        <v>8204992.8967941</v>
      </c>
    </row>
    <row r="145" customFormat="false" ht="15" hidden="false" customHeight="false" outlineLevel="0" collapsed="false">
      <c r="S145" s="22" t="n">
        <v>69916.727</v>
      </c>
      <c r="T145" s="23" t="n">
        <f aca="false">2*PI()*SUMPRODUCT(2*hP*cL^2/(S145*0.000000001)^5/(EXP(hP*cL/(S145*0.000000001*kB*$I$31:$I$101))-1),$G$31:$G$101,$H$31:$H$101)</f>
        <v>6044644.16583729</v>
      </c>
      <c r="U145" s="23" t="n">
        <f aca="false">(S146-S144)/2*0.000000001</f>
        <v>5.008427E-006</v>
      </c>
      <c r="V145" s="23" t="n">
        <f aca="false">PI()*2*hP*cL^2/(S145*0.000000001)^5/(EXP(hP*cL/(S145*0.000000001*kB*$B$6))-1)</f>
        <v>6170509.79355544</v>
      </c>
    </row>
    <row r="146" customFormat="false" ht="15" hidden="false" customHeight="false" outlineLevel="0" collapsed="false">
      <c r="S146" s="22" t="n">
        <v>75104.312</v>
      </c>
      <c r="T146" s="23" t="n">
        <f aca="false">2*PI()*SUMPRODUCT(2*hP*cL^2/(S146*0.000000001)^5/(EXP(hP*cL/(S146*0.000000001*kB*$I$31:$I$101))-1),$G$31:$G$101,$H$31:$H$101)</f>
        <v>4545549.62170543</v>
      </c>
      <c r="U146" s="23" t="n">
        <f aca="false">(S147-S145)/2*0.000000001</f>
        <v>5.3800355E-006</v>
      </c>
      <c r="V146" s="23" t="n">
        <f aca="false">PI()*2*hP*cL^2/(S146*0.000000001)^5/(EXP(hP*cL/(S146*0.000000001*kB*$B$6))-1)</f>
        <v>4640061.33163764</v>
      </c>
    </row>
    <row r="147" customFormat="false" ht="15" hidden="false" customHeight="false" outlineLevel="0" collapsed="false">
      <c r="S147" s="22" t="n">
        <v>80676.798</v>
      </c>
      <c r="T147" s="23" t="n">
        <f aca="false">2*PI()*SUMPRODUCT(2*hP*cL^2/(S147*0.000000001)^5/(EXP(hP*cL/(S147*0.000000001*kB*$I$31:$I$101))-1),$G$31:$G$101,$H$31:$H$101)</f>
        <v>3417935.22047005</v>
      </c>
      <c r="U147" s="23" t="n">
        <f aca="false">(S148-S146)/2*0.000000001</f>
        <v>5.779216E-006</v>
      </c>
      <c r="V147" s="23" t="n">
        <f aca="false">PI()*2*hP*cL^2/(S147*0.000000001)^5/(EXP(hP*cL/(S147*0.000000001*kB*$B$6))-1)</f>
        <v>3488904.30706249</v>
      </c>
    </row>
    <row r="148" customFormat="false" ht="15" hidden="false" customHeight="false" outlineLevel="0" collapsed="false">
      <c r="S148" s="22" t="n">
        <v>86662.744</v>
      </c>
      <c r="T148" s="23" t="n">
        <f aca="false">2*PI()*SUMPRODUCT(2*hP*cL^2/(S148*0.000000001)^5/(EXP(hP*cL/(S148*0.000000001*kB*$I$31:$I$101))-1),$G$31:$G$101,$H$31:$H$101)</f>
        <v>2569837.53071657</v>
      </c>
      <c r="U148" s="23" t="n">
        <f aca="false">(S149-S147)/2*0.000000001</f>
        <v>6.20801450000001E-006</v>
      </c>
      <c r="V148" s="23" t="n">
        <f aca="false">PI()*2*hP*cL^2/(S148*0.000000001)^5/(EXP(hP*cL/(S148*0.000000001*kB*$B$6))-1)</f>
        <v>2623128.99795268</v>
      </c>
    </row>
    <row r="149" customFormat="false" ht="15" hidden="false" customHeight="false" outlineLevel="0" collapsed="false">
      <c r="S149" s="22" t="n">
        <v>93092.827</v>
      </c>
      <c r="T149" s="23" t="n">
        <f aca="false">2*PI()*SUMPRODUCT(2*hP*cL^2/(S149*0.000000001)^5/(EXP(hP*cL/(S149*0.000000001*kB*$I$31:$I$101))-1),$G$31:$G$101,$H$31:$H$101)</f>
        <v>1932032.42589401</v>
      </c>
      <c r="U149" s="23" t="n">
        <f aca="false">(S150-S148)/2*0.000000001</f>
        <v>6.668628E-006</v>
      </c>
      <c r="V149" s="23" t="n">
        <f aca="false">PI()*2*hP*cL^2/(S149*0.000000001)^5/(EXP(hP*cL/(S149*0.000000001*kB*$B$6))-1)</f>
        <v>1972050.00158588</v>
      </c>
    </row>
    <row r="150" customFormat="false" ht="15" hidden="false" customHeight="false" outlineLevel="0" collapsed="false">
      <c r="S150" s="22" t="n">
        <v>100000</v>
      </c>
      <c r="T150" s="23" t="n">
        <f aca="false">2*PI()*SUMPRODUCT(2*hP*cL^2/(S150*0.000000001)^5/(EXP(hP*cL/(S150*0.000000001*kB*$I$31:$I$101))-1),$G$31:$G$101,$H$31:$H$101)</f>
        <v>1452420.50805358</v>
      </c>
      <c r="U150" s="23" t="n">
        <f aca="false">(S150-S149)/2*0.000000001</f>
        <v>3.4535865E-006</v>
      </c>
      <c r="V150" s="23" t="n">
        <f aca="false">PI()*2*hP*cL^2/(S150*0.000000001)^5/(EXP(hP*cL/(S150*0.000000001*kB*$B$6))-1)</f>
        <v>1482470.77134262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8" t="s">
        <v>238</v>
      </c>
    </row>
    <row r="2" customFormat="false" ht="15" hidden="false" customHeight="false" outlineLevel="0" collapsed="false">
      <c r="A2" s="2" t="s">
        <v>239</v>
      </c>
    </row>
    <row r="3" customFormat="false" ht="15" hidden="false" customHeight="false" outlineLevel="0" collapsed="false">
      <c r="A3" s="9" t="s">
        <v>240</v>
      </c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2" t="s">
        <v>241</v>
      </c>
      <c r="B6" s="11" t="n">
        <v>1.5</v>
      </c>
      <c r="C6" s="7"/>
    </row>
    <row r="7" customFormat="false" ht="15" hidden="false" customHeight="false" outlineLevel="0" collapsed="false">
      <c r="A7" s="2" t="s">
        <v>242</v>
      </c>
      <c r="B7" s="11" t="n">
        <v>10</v>
      </c>
      <c r="C7" s="7"/>
    </row>
    <row r="8" customFormat="false" ht="15" hidden="false" customHeight="false" outlineLevel="0" collapsed="false">
      <c r="A8" s="2" t="s">
        <v>243</v>
      </c>
      <c r="B8" s="11" t="n">
        <v>0.01</v>
      </c>
      <c r="C8" s="7"/>
    </row>
    <row r="9" customFormat="false" ht="15" hidden="false" customHeight="false" outlineLevel="0" collapsed="false">
      <c r="A9" s="2" t="s">
        <v>244</v>
      </c>
      <c r="B9" s="11" t="n">
        <v>5772</v>
      </c>
      <c r="C9" s="7" t="s">
        <v>60</v>
      </c>
    </row>
    <row r="10" customFormat="false" ht="15" hidden="false" customHeight="false" outlineLevel="0" collapsed="false">
      <c r="A10" s="2" t="s">
        <v>245</v>
      </c>
      <c r="B10" s="11" t="n">
        <v>55.8</v>
      </c>
      <c r="C10" s="7" t="s">
        <v>246</v>
      </c>
    </row>
    <row r="11" customFormat="false" ht="15" hidden="false" customHeight="false" outlineLevel="0" collapsed="false">
      <c r="A11" s="2" t="s">
        <v>247</v>
      </c>
      <c r="B11" s="11" t="n">
        <v>1</v>
      </c>
      <c r="C11" s="7" t="s">
        <v>248</v>
      </c>
    </row>
    <row r="12" customFormat="false" ht="15" hidden="false" customHeight="false" outlineLevel="0" collapsed="false">
      <c r="A12" s="2" t="s">
        <v>249</v>
      </c>
      <c r="B12" s="11" t="n">
        <v>500</v>
      </c>
      <c r="C12" s="7" t="s">
        <v>88</v>
      </c>
    </row>
    <row r="13" customFormat="false" ht="15" hidden="false" customHeight="false" outlineLevel="0" collapsed="false">
      <c r="A13" s="7" t="s">
        <v>250</v>
      </c>
    </row>
    <row r="15" customFormat="false" ht="15" hidden="false" customHeight="false" outlineLevel="0" collapsed="false">
      <c r="A15" s="10" t="s">
        <v>47</v>
      </c>
    </row>
    <row r="16" customFormat="false" ht="15" hidden="false" customHeight="false" outlineLevel="0" collapsed="false">
      <c r="A16" s="2" t="s">
        <v>251</v>
      </c>
      <c r="B16" s="13" t="n">
        <f aca="false">(1+2*$B$6/(3*(1+$B$7*(1+$B$8/SQRT(PI())))))/(1+2*$B$6/3)</f>
        <v>0.545222598915915</v>
      </c>
      <c r="C16" s="7"/>
    </row>
    <row r="17" customFormat="false" ht="15" hidden="false" customHeight="false" outlineLevel="0" collapsed="false">
      <c r="A17" s="2" t="s">
        <v>252</v>
      </c>
      <c r="B17" s="13" t="n">
        <f aca="false">1-1/(1+2*$B$6/3)</f>
        <v>0.5</v>
      </c>
      <c r="C17" s="7"/>
    </row>
    <row r="18" customFormat="false" ht="15" hidden="false" customHeight="false" outlineLevel="0" collapsed="false">
      <c r="A18" s="2" t="s">
        <v>253</v>
      </c>
      <c r="B18" s="12" t="n">
        <f aca="false">SQRT(2*kB*$B$9/($B$10*amu)+($B$11*1000)^2)/1000</f>
        <v>1.64927569798619</v>
      </c>
      <c r="C18" s="7" t="s">
        <v>248</v>
      </c>
    </row>
    <row r="19" customFormat="false" ht="15" hidden="false" customHeight="false" outlineLevel="0" collapsed="false">
      <c r="A19" s="2" t="s">
        <v>254</v>
      </c>
      <c r="B19" s="25" t="n">
        <f aca="false">$B$12*0.000000001*$B$18*1000/cL*10000000000000</f>
        <v>27.5069577965531</v>
      </c>
      <c r="C19" s="7" t="s">
        <v>255</v>
      </c>
    </row>
    <row r="20" customFormat="false" ht="15" hidden="false" customHeight="false" outlineLevel="0" collapsed="false">
      <c r="A20" s="2" t="s">
        <v>256</v>
      </c>
      <c r="B20" s="12" t="n">
        <f aca="false">2*SUMPRODUCT(1-(1+2*$B$6/(3*(1+$B$7*(EXP(0-$P$41:$P$200^2)+$B$8/(SQRT(PI())*(1+$P$41:$P$200^2))))))/(1+2*$B$6/3),$Q$41:$Q$200)</f>
        <v>1.43821398142378</v>
      </c>
      <c r="C20" s="7"/>
    </row>
    <row r="21" customFormat="false" ht="15" hidden="false" customHeight="false" outlineLevel="0" collapsed="false">
      <c r="A21" s="2" t="s">
        <v>257</v>
      </c>
      <c r="B21" s="21" t="n">
        <f aca="false">$B$20*$B$19</f>
        <v>39.5608912894365</v>
      </c>
      <c r="C21" s="7" t="s">
        <v>255</v>
      </c>
    </row>
    <row r="22" customFormat="false" ht="15" hidden="false" customHeight="false" outlineLevel="0" collapsed="false">
      <c r="A22" s="2" t="s">
        <v>258</v>
      </c>
      <c r="B22" s="12" t="n">
        <f aca="false">SQRT(PI())*((2*$B$6/3)/(1+2*$B$6/3))*$B$7</f>
        <v>8.86226925452758</v>
      </c>
      <c r="C22" s="7"/>
    </row>
    <row r="25" customFormat="false" ht="35.05" hidden="false" customHeight="false" outlineLevel="0" collapsed="false">
      <c r="E25" s="15" t="s">
        <v>259</v>
      </c>
      <c r="F25" s="15" t="s">
        <v>260</v>
      </c>
      <c r="H25" s="15" t="s">
        <v>261</v>
      </c>
      <c r="I25" s="15" t="s">
        <v>262</v>
      </c>
      <c r="J25" s="15" t="s">
        <v>263</v>
      </c>
      <c r="K25" s="15" t="s">
        <v>264</v>
      </c>
    </row>
    <row r="26" customFormat="false" ht="15" hidden="false" customHeight="false" outlineLevel="0" collapsed="false">
      <c r="E26" s="22" t="n">
        <f aca="false">-8+0*0.2</f>
        <v>-8</v>
      </c>
      <c r="F26" s="17" t="n">
        <f aca="false">(1+2*$B$6/(3*(1+$B$7*(EXP(0-E26^2)+$B$8/(SQRT(PI())*(1+E26^2))))))/(1+2*$B$6/3)</f>
        <v>0.999566384384061</v>
      </c>
      <c r="H26" s="19" t="n">
        <v>0.01</v>
      </c>
      <c r="I26" s="17" t="n">
        <f aca="false">2*SUMPRODUCT(1-(1+2*$B$6/(3*(1+H26*(EXP(0-$P$41:$P$200^2)+$B$8/(SQRT(PI())*(1+$P$41:$P$200^2))))))/(1+2*$B$6/3),$Q$41:$Q$200)</f>
        <v>0.00889013228417648</v>
      </c>
      <c r="J26" s="17" t="n">
        <f aca="false">2*SUMPRODUCT(1-(1+2*$B$6/(3*(1+H26*EXP(0-$P$41:$P$200^2))))/(1+2*$B$6/3),$Q$41:$Q$200)</f>
        <v>0.00880235162313871</v>
      </c>
      <c r="K26" s="17" t="n">
        <f aca="false">SQRT(PI())*((2*$B$6/3)/(1+2*$B$6/3))*H26</f>
        <v>0.00886226925452758</v>
      </c>
    </row>
    <row r="27" customFormat="false" ht="15" hidden="false" customHeight="false" outlineLevel="0" collapsed="false">
      <c r="E27" s="22" t="n">
        <f aca="false">-8+1*0.2</f>
        <v>-7.8</v>
      </c>
      <c r="F27" s="17" t="n">
        <f aca="false">(1+2*$B$6/(3*(1+$B$7*(EXP(0-E27^2)+$B$8/(SQRT(PI())*(1+E27^2))))))/(1+2*$B$6/3)</f>
        <v>0.999544246991149</v>
      </c>
      <c r="H27" s="19" t="n">
        <v>0.0177827941003892</v>
      </c>
      <c r="I27" s="17" t="n">
        <f aca="false">2*SUMPRODUCT(1-(1+2*$B$6/(3*(1+H27*(EXP(0-$P$41:$P$200^2)+$B$8/(SQRT(PI())*(1+$P$41:$P$200^2))))))/(1+2*$B$6/3),$Q$41:$Q$200)</f>
        <v>0.015723301111408</v>
      </c>
      <c r="J27" s="17" t="n">
        <f aca="false">2*SUMPRODUCT(1-(1+2*$B$6/(3*(1+H27*EXP(0-$P$41:$P$200^2))))/(1+2*$B$6/3),$Q$41:$Q$200)</f>
        <v>0.0155682214366008</v>
      </c>
      <c r="K27" s="17" t="n">
        <f aca="false">SQRT(PI())*((2*$B$6/3)/(1+2*$B$6/3))*H27</f>
        <v>0.0157595909415474</v>
      </c>
    </row>
    <row r="28" customFormat="false" ht="15" hidden="false" customHeight="false" outlineLevel="0" collapsed="false">
      <c r="E28" s="22" t="n">
        <f aca="false">-8+2*0.2</f>
        <v>-7.6</v>
      </c>
      <c r="F28" s="17" t="n">
        <f aca="false">(1+2*$B$6/(3*(1+$B$7*(EXP(0-E28^2)+$B$8/(SQRT(PI())*(1+E28^2))))))/(1+2*$B$6/3)</f>
        <v>0.999520380878724</v>
      </c>
      <c r="H28" s="19" t="n">
        <v>0.0316227766016838</v>
      </c>
      <c r="I28" s="17" t="n">
        <f aca="false">2*SUMPRODUCT(1-(1+2*$B$6/(3*(1+H28*(EXP(0-$P$41:$P$200^2)+$B$8/(SQRT(PI())*(1+$P$41:$P$200^2))))))/(1+2*$B$6/3),$Q$41:$Q$200)</f>
        <v>0.0276936614764923</v>
      </c>
      <c r="J28" s="17" t="n">
        <f aca="false">2*SUMPRODUCT(1-(1+2*$B$6/(3*(1+H28*EXP(0-$P$41:$P$200^2))))/(1+2*$B$6/3),$Q$41:$Q$200)</f>
        <v>0.0274210288355079</v>
      </c>
      <c r="K28" s="17" t="n">
        <f aca="false">SQRT(PI())*((2*$B$6/3)/(1+2*$B$6/3))*H28</f>
        <v>0.0280249560819896</v>
      </c>
    </row>
    <row r="29" customFormat="false" ht="15" hidden="false" customHeight="false" outlineLevel="0" collapsed="false">
      <c r="E29" s="22" t="n">
        <f aca="false">-8+3*0.2</f>
        <v>-7.4</v>
      </c>
      <c r="F29" s="17" t="n">
        <f aca="false">(1+2*$B$6/(3*(1+$B$7*(EXP(0-E29^2)+$B$8/(SQRT(PI())*(1+E29^2))))))/(1+2*$B$6/3)</f>
        <v>0.999494602489665</v>
      </c>
      <c r="H29" s="19" t="n">
        <v>0.0562341325190349</v>
      </c>
      <c r="I29" s="17" t="n">
        <f aca="false">2*SUMPRODUCT(1-(1+2*$B$6/(3*(1+H29*(EXP(0-$P$41:$P$200^2)+$B$8/(SQRT(PI())*(1+$P$41:$P$200^2))))))/(1+2*$B$6/3),$Q$41:$Q$200)</f>
        <v>0.048428820394977</v>
      </c>
      <c r="J29" s="17" t="n">
        <f aca="false">2*SUMPRODUCT(1-(1+2*$B$6/(3*(1+H29*EXP(0-$P$41:$P$200^2))))/(1+2*$B$6/3),$Q$41:$Q$200)</f>
        <v>0.0479535150923839</v>
      </c>
      <c r="K29" s="17" t="n">
        <f aca="false">SQRT(PI())*((2*$B$6/3)/(1+2*$B$6/3))*H29</f>
        <v>0.0498362023678473</v>
      </c>
    </row>
    <row r="30" customFormat="false" ht="15" hidden="false" customHeight="false" outlineLevel="0" collapsed="false">
      <c r="E30" s="22" t="n">
        <f aca="false">-8+4*0.2</f>
        <v>-7.2</v>
      </c>
      <c r="F30" s="17" t="n">
        <f aca="false">(1+2*$B$6/(3*(1+$B$7*(EXP(0-E30^2)+$B$8/(SQRT(PI())*(1+E30^2))))))/(1+2*$B$6/3)</f>
        <v>0.999466703422786</v>
      </c>
      <c r="H30" s="19" t="n">
        <v>0.1</v>
      </c>
      <c r="I30" s="17" t="n">
        <f aca="false">2*SUMPRODUCT(1-(1+2*$B$6/(3*(1+H30*(EXP(0-$P$41:$P$200^2)+$B$8/(SQRT(PI())*(1+$P$41:$P$200^2))))))/(1+2*$B$6/3),$Q$41:$Q$200)</f>
        <v>0.083665532397056</v>
      </c>
      <c r="J30" s="17" t="n">
        <f aca="false">2*SUMPRODUCT(1-(1+2*$B$6/(3*(1+H30*EXP(0-$P$41:$P$200^2))))/(1+2*$B$6/3),$Q$41:$Q$200)</f>
        <v>0.082848196590817</v>
      </c>
      <c r="K30" s="17" t="n">
        <f aca="false">SQRT(PI())*((2*$B$6/3)/(1+2*$B$6/3))*H30</f>
        <v>0.0886226925452758</v>
      </c>
    </row>
    <row r="31" customFormat="false" ht="15" hidden="false" customHeight="false" outlineLevel="0" collapsed="false">
      <c r="E31" s="22" t="n">
        <f aca="false">-8+5*0.2</f>
        <v>-7</v>
      </c>
      <c r="F31" s="17" t="n">
        <f aca="false">(1+2*$B$6/(3*(1+$B$7*(EXP(0-E31^2)+$B$8/(SQRT(PI())*(1+E31^2))))))/(1+2*$B$6/3)</f>
        <v>0.999436446318686</v>
      </c>
      <c r="H31" s="19" t="n">
        <v>0.177827941003892</v>
      </c>
      <c r="I31" s="17" t="n">
        <f aca="false">2*SUMPRODUCT(1-(1+2*$B$6/(3*(1+H31*(EXP(0-$P$41:$P$200^2)+$B$8/(SQRT(PI())*(1+$P$41:$P$200^2))))))/(1+2*$B$6/3),$Q$41:$Q$200)</f>
        <v>0.14168566703901</v>
      </c>
      <c r="J31" s="17" t="n">
        <f aca="false">2*SUMPRODUCT(1-(1+2*$B$6/(3*(1+H31*EXP(0-$P$41:$P$200^2))))/(1+2*$B$6/3),$Q$41:$Q$200)</f>
        <v>0.140309825601731</v>
      </c>
      <c r="K31" s="17" t="n">
        <f aca="false">SQRT(PI())*((2*$B$6/3)/(1+2*$B$6/3))*H31</f>
        <v>0.157595909415474</v>
      </c>
    </row>
    <row r="32" customFormat="false" ht="15" hidden="false" customHeight="false" outlineLevel="0" collapsed="false">
      <c r="E32" s="22" t="n">
        <f aca="false">-8+6*0.2</f>
        <v>-6.8</v>
      </c>
      <c r="F32" s="17" t="n">
        <f aca="false">(1+2*$B$6/(3*(1+$B$7*(EXP(0-E32^2)+$B$8/(SQRT(PI())*(1+E32^2))))))/(1+2*$B$6/3)</f>
        <v>0.999403559935431</v>
      </c>
      <c r="H32" s="19" t="n">
        <v>0.316227766016838</v>
      </c>
      <c r="I32" s="17" t="n">
        <f aca="false">2*SUMPRODUCT(1-(1+2*$B$6/(3*(1+H32*(EXP(0-$P$41:$P$200^2)+$B$8/(SQRT(PI())*(1+$P$41:$P$200^2))))))/(1+2*$B$6/3),$Q$41:$Q$200)</f>
        <v>0.232612448112555</v>
      </c>
      <c r="J32" s="17" t="n">
        <f aca="false">2*SUMPRODUCT(1-(1+2*$B$6/(3*(1+H32*EXP(0-$P$41:$P$200^2))))/(1+2*$B$6/3),$Q$41:$Q$200)</f>
        <v>0.230364871896399</v>
      </c>
      <c r="K32" s="17" t="n">
        <f aca="false">SQRT(PI())*((2*$B$6/3)/(1+2*$B$6/3))*H32</f>
        <v>0.280249560819896</v>
      </c>
    </row>
    <row r="33" customFormat="false" ht="15" hidden="false" customHeight="false" outlineLevel="0" collapsed="false">
      <c r="E33" s="22" t="n">
        <f aca="false">-8+7*0.2</f>
        <v>-6.6</v>
      </c>
      <c r="F33" s="17" t="n">
        <f aca="false">(1+2*$B$6/(3*(1+$B$7*(EXP(0-E33^2)+$B$8/(SQRT(PI())*(1+E33^2))))))/(1+2*$B$6/3)</f>
        <v>0.99936773322835</v>
      </c>
      <c r="H33" s="19" t="n">
        <v>0.562341325190349</v>
      </c>
      <c r="I33" s="17" t="n">
        <f aca="false">2*SUMPRODUCT(1-(1+2*$B$6/(3*(1+H33*(EXP(0-$P$41:$P$200^2)+$B$8/(SQRT(PI())*(1+$P$41:$P$200^2))))))/(1+2*$B$6/3),$Q$41:$Q$200)</f>
        <v>0.365260741322057</v>
      </c>
      <c r="J33" s="17" t="n">
        <f aca="false">2*SUMPRODUCT(1-(1+2*$B$6/(3*(1+H33*EXP(0-$P$41:$P$200^2))))/(1+2*$B$6/3),$Q$41:$Q$200)</f>
        <v>0.361717993680138</v>
      </c>
      <c r="K33" s="17" t="n">
        <f aca="false">SQRT(PI())*((2*$B$6/3)/(1+2*$B$6/3))*H33</f>
        <v>0.498362023678473</v>
      </c>
    </row>
    <row r="34" customFormat="false" ht="15" hidden="false" customHeight="false" outlineLevel="0" collapsed="false">
      <c r="E34" s="22" t="n">
        <f aca="false">-8+8*0.2</f>
        <v>-6.4</v>
      </c>
      <c r="F34" s="17" t="n">
        <f aca="false">(1+2*$B$6/(3*(1+$B$7*(EXP(0-E34^2)+$B$8/(SQRT(PI())*(1+E34^2))))))/(1+2*$B$6/3)</f>
        <v>0.999328608199444</v>
      </c>
      <c r="H34" s="19" t="n">
        <v>1</v>
      </c>
      <c r="I34" s="17" t="n">
        <f aca="false">2*SUMPRODUCT(1-(1+2*$B$6/(3*(1+H34*(EXP(0-$P$41:$P$200^2)+$B$8/(SQRT(PI())*(1+$P$41:$P$200^2))))))/(1+2*$B$6/3),$Q$41:$Q$200)</f>
        <v>0.541622239280112</v>
      </c>
      <c r="J34" s="17" t="n">
        <f aca="false">2*SUMPRODUCT(1-(1+2*$B$6/(3*(1+H34*EXP(0-$P$41:$P$200^2))))/(1+2*$B$6/3),$Q$41:$Q$200)</f>
        <v>0.536213968310033</v>
      </c>
      <c r="K34" s="17" t="n">
        <f aca="false">SQRT(PI())*((2*$B$6/3)/(1+2*$B$6/3))*H34</f>
        <v>0.886226925452758</v>
      </c>
    </row>
    <row r="35" customFormat="false" ht="15" hidden="false" customHeight="false" outlineLevel="0" collapsed="false">
      <c r="E35" s="22" t="n">
        <f aca="false">-8+9*0.2</f>
        <v>-6.2</v>
      </c>
      <c r="F35" s="17" t="n">
        <f aca="false">(1+2*$B$6/(3*(1+$B$7*(EXP(0-E35^2)+$B$8/(SQRT(PI())*(1+E35^2))))))/(1+2*$B$6/3)</f>
        <v>0.999285771218724</v>
      </c>
      <c r="H35" s="19" t="n">
        <v>1.77827941003892</v>
      </c>
      <c r="I35" s="17" t="n">
        <f aca="false">2*SUMPRODUCT(1-(1+2*$B$6/(3*(1+H35*(EXP(0-$P$41:$P$200^2)+$B$8/(SQRT(PI())*(1+$P$41:$P$200^2))))))/(1+2*$B$6/3),$Q$41:$Q$200)</f>
        <v>0.752943187971951</v>
      </c>
      <c r="J35" s="17" t="n">
        <f aca="false">2*SUMPRODUCT(1-(1+2*$B$6/(3*(1+H35*EXP(0-$P$41:$P$200^2))))/(1+2*$B$6/3),$Q$41:$Q$200)</f>
        <v>0.744813302332316</v>
      </c>
      <c r="K35" s="17" t="n">
        <f aca="false">SQRT(PI())*((2*$B$6/3)/(1+2*$B$6/3))*H35</f>
        <v>1.57595909415474</v>
      </c>
    </row>
    <row r="36" customFormat="false" ht="15" hidden="false" customHeight="false" outlineLevel="0" collapsed="false">
      <c r="E36" s="22" t="n">
        <f aca="false">-8+10*0.2</f>
        <v>-6</v>
      </c>
      <c r="F36" s="17" t="n">
        <f aca="false">(1+2*$B$6/(3*(1+$B$7*(EXP(0-E36^2)+$B$8/(SQRT(PI())*(1+E36^2))))))/(1+2*$B$6/3)</f>
        <v>0.999238742437332</v>
      </c>
      <c r="H36" s="19" t="n">
        <v>3.16227766016838</v>
      </c>
      <c r="I36" s="17" t="n">
        <f aca="false">2*SUMPRODUCT(1-(1+2*$B$6/(3*(1+H36*(EXP(0-$P$41:$P$200^2)+$B$8/(SQRT(PI())*(1+$P$41:$P$200^2))))))/(1+2*$B$6/3),$Q$41:$Q$200)</f>
        <v>0.982580617237508</v>
      </c>
      <c r="J36" s="17" t="n">
        <f aca="false">2*SUMPRODUCT(1-(1+2*$B$6/(3*(1+H36*EXP(0-$P$41:$P$200^2))))/(1+2*$B$6/3),$Q$41:$Q$200)</f>
        <v>0.97027239906462</v>
      </c>
      <c r="K36" s="17" t="n">
        <f aca="false">SQRT(PI())*((2*$B$6/3)/(1+2*$B$6/3))*H36</f>
        <v>2.80249560819896</v>
      </c>
    </row>
    <row r="37" customFormat="false" ht="15" hidden="false" customHeight="false" outlineLevel="0" collapsed="false">
      <c r="E37" s="22" t="n">
        <f aca="false">-8+11*0.2</f>
        <v>-5.8</v>
      </c>
      <c r="F37" s="17" t="n">
        <f aca="false">(1+2*$B$6/(3*(1+$B$7*(EXP(0-E37^2)+$B$8/(SQRT(PI())*(1+E37^2))))))/(1+2*$B$6/3)</f>
        <v>0.999186962804096</v>
      </c>
      <c r="H37" s="19" t="n">
        <v>5.62341325190349</v>
      </c>
      <c r="I37" s="17" t="n">
        <f aca="false">2*SUMPRODUCT(1-(1+2*$B$6/(3*(1+H37*(EXP(0-$P$41:$P$200^2)+$B$8/(SQRT(PI())*(1+$P$41:$P$200^2))))))/(1+2*$B$6/3),$Q$41:$Q$200)</f>
        <v>1.21421087117995</v>
      </c>
      <c r="J37" s="17" t="n">
        <f aca="false">2*SUMPRODUCT(1-(1+2*$B$6/(3*(1+H37*EXP(0-$P$41:$P$200^2))))/(1+2*$B$6/3),$Q$41:$Q$200)</f>
        <v>1.19515243573953</v>
      </c>
      <c r="K37" s="17" t="n">
        <f aca="false">SQRT(PI())*((2*$B$6/3)/(1+2*$B$6/3))*H37</f>
        <v>4.98362023678473</v>
      </c>
    </row>
    <row r="38" customFormat="false" ht="15" hidden="false" customHeight="false" outlineLevel="0" collapsed="false">
      <c r="E38" s="22" t="n">
        <f aca="false">-8+12*0.2</f>
        <v>-5.6</v>
      </c>
      <c r="F38" s="17" t="n">
        <f aca="false">(1+2*$B$6/(3*(1+$B$7*(EXP(0-E38^2)+$B$8/(SQRT(PI())*(1+E38^2))))))/(1+2*$B$6/3)</f>
        <v>0.999129778054217</v>
      </c>
      <c r="H38" s="19" t="n">
        <v>10</v>
      </c>
      <c r="I38" s="17" t="n">
        <f aca="false">2*SUMPRODUCT(1-(1+2*$B$6/(3*(1+H38*(EXP(0-$P$41:$P$200^2)+$B$8/(SQRT(PI())*(1+$P$41:$P$200^2))))))/(1+2*$B$6/3),$Q$41:$Q$200)</f>
        <v>1.43821398142378</v>
      </c>
      <c r="J38" s="17" t="n">
        <f aca="false">2*SUMPRODUCT(1-(1+2*$B$6/(3*(1+H38*EXP(0-$P$41:$P$200^2))))/(1+2*$B$6/3),$Q$41:$Q$200)</f>
        <v>1.40793947193853</v>
      </c>
      <c r="K38" s="17" t="n">
        <f aca="false">SQRT(PI())*((2*$B$6/3)/(1+2*$B$6/3))*H38</f>
        <v>8.86226925452758</v>
      </c>
    </row>
    <row r="39" customFormat="false" ht="15" hidden="false" customHeight="false" outlineLevel="0" collapsed="false">
      <c r="E39" s="22" t="n">
        <f aca="false">-8+13*0.2</f>
        <v>-5.4</v>
      </c>
      <c r="F39" s="17" t="n">
        <f aca="false">(1+2*$B$6/(3*(1+$B$7*(EXP(0-E39^2)+$B$8/(SQRT(PI())*(1+E39^2))))))/(1+2*$B$6/3)</f>
        <v>0.999066418848346</v>
      </c>
      <c r="H39" s="19" t="n">
        <v>17.7827941003892</v>
      </c>
      <c r="I39" s="17" t="n">
        <f aca="false">2*SUMPRODUCT(1-(1+2*$B$6/(3*(1+H39*(EXP(0-$P$41:$P$200^2)+$B$8/(SQRT(PI())*(1+$P$41:$P$200^2))))))/(1+2*$B$6/3),$Q$41:$Q$200)</f>
        <v>1.65294039250646</v>
      </c>
      <c r="J39" s="17" t="n">
        <f aca="false">2*SUMPRODUCT(1-(1+2*$B$6/(3*(1+H39*EXP(0-$P$41:$P$200^2))))/(1+2*$B$6/3),$Q$41:$Q$200)</f>
        <v>1.60383535390482</v>
      </c>
      <c r="K39" s="17" t="n">
        <f aca="false">SQRT(PI())*((2*$B$6/3)/(1+2*$B$6/3))*H39</f>
        <v>15.7595909415474</v>
      </c>
    </row>
    <row r="40" customFormat="false" ht="23.85" hidden="false" customHeight="false" outlineLevel="0" collapsed="false">
      <c r="E40" s="22" t="n">
        <f aca="false">-8+14*0.2</f>
        <v>-5.2</v>
      </c>
      <c r="F40" s="17" t="n">
        <f aca="false">(1+2*$B$6/(3*(1+$B$7*(EXP(0-E40^2)+$B$8/(SQRT(PI())*(1+E40^2))))))/(1+2*$B$6/3)</f>
        <v>0.998995975982852</v>
      </c>
      <c r="H40" s="19" t="n">
        <v>31.6227766016838</v>
      </c>
      <c r="I40" s="17" t="n">
        <f aca="false">2*SUMPRODUCT(1-(1+2*$B$6/(3*(1+H40*(EXP(0-$P$41:$P$200^2)+$B$8/(SQRT(PI())*(1+$P$41:$P$200^2))))))/(1+2*$B$6/3),$Q$41:$Q$200)</f>
        <v>1.86331282917176</v>
      </c>
      <c r="J40" s="17" t="n">
        <f aca="false">2*SUMPRODUCT(1-(1+2*$B$6/(3*(1+H40*EXP(0-$P$41:$P$200^2))))/(1+2*$B$6/3),$Q$41:$Q$200)</f>
        <v>1.78250856446155</v>
      </c>
      <c r="K40" s="17" t="n">
        <f aca="false">SQRT(PI())*((2*$B$6/3)/(1+2*$B$6/3))*H40</f>
        <v>28.0249560819896</v>
      </c>
      <c r="P40" s="15" t="s">
        <v>265</v>
      </c>
      <c r="Q40" s="15" t="s">
        <v>266</v>
      </c>
    </row>
    <row r="41" customFormat="false" ht="15" hidden="false" customHeight="false" outlineLevel="0" collapsed="false">
      <c r="E41" s="22" t="n">
        <f aca="false">-8+15*0.2</f>
        <v>-5</v>
      </c>
      <c r="F41" s="17" t="n">
        <f aca="false">(1+2*$B$6/(3*(1+$B$7*(EXP(0-E41^2)+$B$8/(SQRT(PI())*(1+E41^2))))))/(1+2*$B$6/3)</f>
        <v>0.998917369227752</v>
      </c>
      <c r="H41" s="19" t="n">
        <v>56.2341325190349</v>
      </c>
      <c r="I41" s="17" t="n">
        <f aca="false">2*SUMPRODUCT(1-(1+2*$B$6/(3*(1+H41*(EXP(0-$P$41:$P$200^2)+$B$8/(SQRT(PI())*(1+$P$41:$P$200^2))))))/(1+2*$B$6/3),$Q$41:$Q$200)</f>
        <v>2.07984375105597</v>
      </c>
      <c r="J41" s="17" t="n">
        <f aca="false">2*SUMPRODUCT(1-(1+2*$B$6/(3*(1+H41*EXP(0-$P$41:$P$200^2))))/(1+2*$B$6/3),$Q$41:$Q$200)</f>
        <v>1.94569942983676</v>
      </c>
      <c r="K41" s="17" t="n">
        <f aca="false">SQRT(PI())*((2*$B$6/3)/(1+2*$B$6/3))*H41</f>
        <v>49.8362023678473</v>
      </c>
      <c r="P41" s="27" t="n">
        <v>0</v>
      </c>
      <c r="Q41" s="17" t="n">
        <f aca="false">(P42-P41)/2</f>
        <v>0.0390955631918815</v>
      </c>
    </row>
    <row r="42" customFormat="false" ht="15" hidden="false" customHeight="false" outlineLevel="0" collapsed="false">
      <c r="E42" s="22" t="n">
        <f aca="false">-8+16*0.2</f>
        <v>-4.8</v>
      </c>
      <c r="F42" s="17" t="n">
        <f aca="false">(1+2*$B$6/(3*(1+$B$7*(EXP(0-E42^2)+$B$8/(SQRT(PI())*(1+E42^2))))))/(1+2*$B$6/3)</f>
        <v>0.998829307746951</v>
      </c>
      <c r="H42" s="19" t="n">
        <v>100</v>
      </c>
      <c r="I42" s="17" t="n">
        <f aca="false">2*SUMPRODUCT(1-(1+2*$B$6/(3*(1+H42*(EXP(0-$P$41:$P$200^2)+$B$8/(SQRT(PI())*(1+$P$41:$P$200^2))))))/(1+2*$B$6/3),$Q$41:$Q$200)</f>
        <v>2.31936551015706</v>
      </c>
      <c r="J42" s="17" t="n">
        <f aca="false">2*SUMPRODUCT(1-(1+2*$B$6/(3*(1+H42*EXP(0-$P$41:$P$200^2))))/(1+2*$B$6/3),$Q$41:$Q$200)</f>
        <v>2.0957304189654</v>
      </c>
      <c r="K42" s="17" t="n">
        <f aca="false">SQRT(PI())*((2*$B$6/3)/(1+2*$B$6/3))*H42</f>
        <v>88.6226925452758</v>
      </c>
      <c r="P42" s="27" t="n">
        <v>0.0781911263837629</v>
      </c>
      <c r="Q42" s="17" t="n">
        <f aca="false">(P43-P41)/2</f>
        <v>0.0782508596916385</v>
      </c>
    </row>
    <row r="43" customFormat="false" ht="15" hidden="false" customHeight="false" outlineLevel="0" collapsed="false">
      <c r="E43" s="22" t="n">
        <f aca="false">-8+17*0.2</f>
        <v>-4.6</v>
      </c>
      <c r="F43" s="17" t="n">
        <f aca="false">(1+2*$B$6/(3*(1+$B$7*(EXP(0-E43^2)+$B$8/(SQRT(PI())*(1+E43^2))))))/(1+2*$B$6/3)</f>
        <v>0.998730238629316</v>
      </c>
      <c r="H43" s="19" t="n">
        <v>177.827941003892</v>
      </c>
      <c r="I43" s="17" t="n">
        <f aca="false">2*SUMPRODUCT(1-(1+2*$B$6/(3*(1+H43*(EXP(0-$P$41:$P$200^2)+$B$8/(SQRT(PI())*(1+$P$41:$P$200^2))))))/(1+2*$B$6/3),$Q$41:$Q$200)</f>
        <v>2.6076164057337</v>
      </c>
      <c r="J43" s="17" t="n">
        <f aca="false">2*SUMPRODUCT(1-(1+2*$B$6/(3*(1+H43*EXP(0-$P$41:$P$200^2))))/(1+2*$B$6/3),$Q$41:$Q$200)</f>
        <v>2.23481681883922</v>
      </c>
      <c r="K43" s="17" t="n">
        <f aca="false">SQRT(PI())*((2*$B$6/3)/(1+2*$B$6/3))*H43</f>
        <v>157.595909415474</v>
      </c>
      <c r="P43" s="27" t="n">
        <v>0.156501719383277</v>
      </c>
      <c r="Q43" s="17" t="n">
        <f aca="false">(P44-P42)/2</f>
        <v>0.0784301508805595</v>
      </c>
    </row>
    <row r="44" customFormat="false" ht="15" hidden="false" customHeight="false" outlineLevel="0" collapsed="false">
      <c r="E44" s="22" t="n">
        <f aca="false">-8+18*0.2</f>
        <v>-4.4</v>
      </c>
      <c r="F44" s="17" t="n">
        <f aca="false">(1+2*$B$6/(3*(1+$B$7*(EXP(0-E44^2)+$B$8/(SQRT(PI())*(1+E44^2))))))/(1+2*$B$6/3)</f>
        <v>0.998618275023392</v>
      </c>
      <c r="H44" s="19" t="n">
        <v>316.227766016838</v>
      </c>
      <c r="I44" s="17" t="n">
        <f aca="false">2*SUMPRODUCT(1-(1+2*$B$6/(3*(1+H44*(EXP(0-$P$41:$P$200^2)+$B$8/(SQRT(PI())*(1+$P$41:$P$200^2))))))/(1+2*$B$6/3),$Q$41:$Q$200)</f>
        <v>2.98335263146893</v>
      </c>
      <c r="J44" s="17" t="n">
        <f aca="false">2*SUMPRODUCT(1-(1+2*$B$6/(3*(1+H44*EXP(0-$P$41:$P$200^2))))/(1+2*$B$6/3),$Q$41:$Q$200)</f>
        <v>2.364833650468</v>
      </c>
      <c r="K44" s="17" t="n">
        <f aca="false">SQRT(PI())*((2*$B$6/3)/(1+2*$B$6/3))*H44</f>
        <v>280.249560819896</v>
      </c>
      <c r="P44" s="27" t="n">
        <v>0.235051428144882</v>
      </c>
      <c r="Q44" s="17" t="n">
        <f aca="false">(P45-P43)/2</f>
        <v>0.0787292738858501</v>
      </c>
    </row>
    <row r="45" customFormat="false" ht="15" hidden="false" customHeight="false" outlineLevel="0" collapsed="false">
      <c r="E45" s="22" t="n">
        <f aca="false">-8+19*0.2</f>
        <v>-4.2</v>
      </c>
      <c r="F45" s="17" t="n">
        <f aca="false">(1+2*$B$6/(3*(1+$B$7*(EXP(0-E45^2)+$B$8/(SQRT(PI())*(1+E45^2))))))/(1+2*$B$6/3)</f>
        <v>0.998491074273794</v>
      </c>
      <c r="H45" s="19" t="n">
        <v>562.341325190349</v>
      </c>
      <c r="I45" s="17" t="n">
        <f aca="false">2*SUMPRODUCT(1-(1+2*$B$6/(3*(1+H45*(EXP(0-$P$41:$P$200^2)+$B$8/(SQRT(PI())*(1+$P$41:$P$200^2))))))/(1+2*$B$6/3),$Q$41:$Q$200)</f>
        <v>3.50307129087983</v>
      </c>
      <c r="J45" s="17" t="n">
        <f aca="false">2*SUMPRODUCT(1-(1+2*$B$6/(3*(1+H45*EXP(0-$P$41:$P$200^2))))/(1+2*$B$6/3),$Q$41:$Q$200)</f>
        <v>2.48728875198699</v>
      </c>
      <c r="K45" s="17" t="n">
        <f aca="false">SQRT(PI())*((2*$B$6/3)/(1+2*$B$6/3))*H45</f>
        <v>498.362023678473</v>
      </c>
      <c r="P45" s="27" t="n">
        <v>0.313960267154977</v>
      </c>
      <c r="Q45" s="17" t="n">
        <f aca="false">(P46-P44)/2</f>
        <v>0.0791486857314055</v>
      </c>
    </row>
    <row r="46" customFormat="false" ht="15" hidden="false" customHeight="false" outlineLevel="0" collapsed="false">
      <c r="E46" s="22" t="n">
        <f aca="false">-8+20*0.2</f>
        <v>-4</v>
      </c>
      <c r="F46" s="17" t="n">
        <f aca="false">(1+2*$B$6/(3*(1+$B$7*(EXP(0-E46^2)+$B$8/(SQRT(PI())*(1+E46^2))))))/(1+2*$B$6/3)</f>
        <v>0.998345548788121</v>
      </c>
      <c r="H46" s="19" t="n">
        <v>1000</v>
      </c>
      <c r="I46" s="17" t="n">
        <f aca="false">2*SUMPRODUCT(1-(1+2*$B$6/(3*(1+H46*(EXP(0-$P$41:$P$200^2)+$B$8/(SQRT(PI())*(1+$P$41:$P$200^2))))))/(1+2*$B$6/3),$Q$41:$Q$200)</f>
        <v>4.24453715768078</v>
      </c>
      <c r="J46" s="17" t="n">
        <f aca="false">2*SUMPRODUCT(1-(1+2*$B$6/(3*(1+H46*EXP(0-$P$41:$P$200^2))))/(1+2*$B$6/3),$Q$41:$Q$200)</f>
        <v>2.60337037059908</v>
      </c>
      <c r="K46" s="17" t="n">
        <f aca="false">SQRT(PI())*((2*$B$6/3)/(1+2*$B$6/3))*H46</f>
        <v>886.226925452758</v>
      </c>
      <c r="P46" s="27" t="n">
        <v>0.393348799607693</v>
      </c>
      <c r="Q46" s="17" t="n">
        <f aca="false">(P47-P45)/2</f>
        <v>0.0796890272279686</v>
      </c>
    </row>
    <row r="47" customFormat="false" ht="15" hidden="false" customHeight="false" outlineLevel="0" collapsed="false">
      <c r="E47" s="22" t="n">
        <f aca="false">-8+21*0.2</f>
        <v>-3.8</v>
      </c>
      <c r="F47" s="17" t="n">
        <f aca="false">(1+2*$B$6/(3*(1+$B$7*(EXP(0-E47^2)+$B$8/(SQRT(PI())*(1+E47^2))))))/(1+2*$B$6/3)</f>
        <v>0.998176954830855</v>
      </c>
      <c r="H47" s="19" t="n">
        <v>1778.27941003892</v>
      </c>
      <c r="I47" s="17" t="n">
        <f aca="false">2*SUMPRODUCT(1-(1+2*$B$6/(3*(1+H47*(EXP(0-$P$41:$P$200^2)+$B$8/(SQRT(PI())*(1+$P$41:$P$200^2))))))/(1+2*$B$6/3),$Q$41:$Q$200)</f>
        <v>5.3072476419943</v>
      </c>
      <c r="J47" s="17" t="n">
        <f aca="false">2*SUMPRODUCT(1-(1+2*$B$6/(3*(1+H47*EXP(0-$P$41:$P$200^2))))/(1+2*$B$6/3),$Q$41:$Q$200)</f>
        <v>2.71401116248708</v>
      </c>
      <c r="K47" s="17" t="n">
        <f aca="false">SQRT(PI())*((2*$B$6/3)/(1+2*$B$6/3))*H47</f>
        <v>1575.95909415474</v>
      </c>
      <c r="P47" s="27" t="n">
        <v>0.473338321610914</v>
      </c>
      <c r="Q47" s="17" t="n">
        <f aca="false">(P48-P46)/2</f>
        <v>0.0803511239522119</v>
      </c>
    </row>
    <row r="48" customFormat="false" ht="15" hidden="false" customHeight="false" outlineLevel="0" collapsed="false">
      <c r="E48" s="22" t="n">
        <f aca="false">-8+22*0.2</f>
        <v>-3.6</v>
      </c>
      <c r="F48" s="17" t="n">
        <f aca="false">(1+2*$B$6/(3*(1+$B$7*(EXP(0-E48^2)+$B$8/(SQRT(PI())*(1+E48^2))))))/(1+2*$B$6/3)</f>
        <v>0.997975729449817</v>
      </c>
      <c r="H48" s="19" t="n">
        <v>3162.27766016838</v>
      </c>
      <c r="I48" s="17" t="n">
        <f aca="false">2*SUMPRODUCT(1-(1+2*$B$6/(3*(1+H48*(EXP(0-$P$41:$P$200^2)+$B$8/(SQRT(PI())*(1+$P$41:$P$200^2))))))/(1+2*$B$6/3),$Q$41:$Q$200)</f>
        <v>6.81070844450616</v>
      </c>
      <c r="J48" s="17" t="n">
        <f aca="false">2*SUMPRODUCT(1-(1+2*$B$6/(3*(1+H48*EXP(0-$P$41:$P$200^2))))/(1+2*$B$6/3),$Q$41:$Q$200)</f>
        <v>2.81994688913839</v>
      </c>
      <c r="K48" s="17" t="n">
        <f aca="false">SQRT(PI())*((2*$B$6/3)/(1+2*$B$6/3))*H48</f>
        <v>2802.49560819896</v>
      </c>
      <c r="P48" s="27" t="n">
        <v>0.554051047512117</v>
      </c>
      <c r="Q48" s="17" t="n">
        <f aca="false">(P49-P47)/2</f>
        <v>0.0811359875081195</v>
      </c>
    </row>
    <row r="49" customFormat="false" ht="15" hidden="false" customHeight="false" outlineLevel="0" collapsed="false">
      <c r="E49" s="22" t="n">
        <f aca="false">-8+23*0.2</f>
        <v>-3.4</v>
      </c>
      <c r="F49" s="17" t="n">
        <f aca="false">(1+2*$B$6/(3*(1+$B$7*(EXP(0-E49^2)+$B$8/(SQRT(PI())*(1+E49^2))))))/(1+2*$B$6/3)</f>
        <v>0.997716795418441</v>
      </c>
      <c r="H49" s="19" t="n">
        <v>5623.41325190349</v>
      </c>
      <c r="I49" s="17" t="n">
        <f aca="false">2*SUMPRODUCT(1-(1+2*$B$6/(3*(1+H49*(EXP(0-$P$41:$P$200^2)+$B$8/(SQRT(PI())*(1+$P$41:$P$200^2))))))/(1+2*$B$6/3),$Q$41:$Q$200)</f>
        <v>8.89578822003543</v>
      </c>
      <c r="J49" s="17" t="n">
        <f aca="false">2*SUMPRODUCT(1-(1+2*$B$6/(3*(1+H49*EXP(0-$P$41:$P$200^2))))/(1+2*$B$6/3),$Q$41:$Q$200)</f>
        <v>2.92176386981863</v>
      </c>
      <c r="K49" s="17" t="n">
        <f aca="false">SQRT(PI())*((2*$B$6/3)/(1+2*$B$6/3))*H49</f>
        <v>4983.62023678473</v>
      </c>
      <c r="P49" s="27" t="n">
        <v>0.635610296627153</v>
      </c>
      <c r="Q49" s="17" t="n">
        <f aca="false">(P50-P48)/2</f>
        <v>0.0820448170725951</v>
      </c>
    </row>
    <row r="50" customFormat="false" ht="15" hidden="false" customHeight="false" outlineLevel="0" collapsed="false">
      <c r="E50" s="22" t="n">
        <f aca="false">-8+24*0.2</f>
        <v>-3.2</v>
      </c>
      <c r="F50" s="17" t="n">
        <f aca="false">(1+2*$B$6/(3*(1+$B$7*(EXP(0-E50^2)+$B$8/(SQRT(PI())*(1+E50^2))))))/(1+2*$B$6/3)</f>
        <v>0.997326072274732</v>
      </c>
      <c r="H50" s="19" t="n">
        <v>10000</v>
      </c>
      <c r="I50" s="17" t="n">
        <f aca="false">2*SUMPRODUCT(1-(1+2*$B$6/(3*(1+H50*(EXP(0-$P$41:$P$200^2)+$B$8/(SQRT(PI())*(1+$P$41:$P$200^2))))))/(1+2*$B$6/3),$Q$41:$Q$200)</f>
        <v>11.7344028149635</v>
      </c>
      <c r="J50" s="17" t="n">
        <f aca="false">2*SUMPRODUCT(1-(1+2*$B$6/(3*(1+H50*EXP(0-$P$41:$P$200^2))))/(1+2*$B$6/3),$Q$41:$Q$200)</f>
        <v>3.01993527256783</v>
      </c>
      <c r="K50" s="17" t="n">
        <f aca="false">SQRT(PI())*((2*$B$6/3)/(1+2*$B$6/3))*H50</f>
        <v>8862.26925452758</v>
      </c>
      <c r="P50" s="27" t="n">
        <v>0.718140681657307</v>
      </c>
      <c r="Q50" s="17" t="n">
        <f aca="false">(P51-P49)/2</f>
        <v>0.0830790012276604</v>
      </c>
    </row>
    <row r="51" customFormat="false" ht="15" hidden="false" customHeight="false" outlineLevel="0" collapsed="false">
      <c r="E51" s="22" t="n">
        <f aca="false">-8+25*0.2</f>
        <v>-3</v>
      </c>
      <c r="F51" s="17" t="n">
        <f aca="false">(1+2*$B$6/(3*(1+$B$7*(EXP(0-E51^2)+$B$8/(SQRT(PI())*(1+E51^2))))))/(1+2*$B$6/3)</f>
        <v>0.996585481271694</v>
      </c>
      <c r="H51" s="19" t="n">
        <v>17782.7941003892</v>
      </c>
      <c r="I51" s="17" t="n">
        <f aca="false">2*SUMPRODUCT(1-(1+2*$B$6/(3*(1+H51*(EXP(0-$P$41:$P$200^2)+$B$8/(SQRT(PI())*(1+$P$41:$P$200^2))))))/(1+2*$B$6/3),$Q$41:$Q$200)</f>
        <v>15.5468062593061</v>
      </c>
      <c r="J51" s="17" t="n">
        <f aca="false">2*SUMPRODUCT(1-(1+2*$B$6/(3*(1+H51*EXP(0-$P$41:$P$200^2))))/(1+2*$B$6/3),$Q$41:$Q$200)</f>
        <v>3.1148481659349</v>
      </c>
      <c r="K51" s="17" t="n">
        <f aca="false">SQRT(PI())*((2*$B$6/3)/(1+2*$B$6/3))*H51</f>
        <v>15759.5909415474</v>
      </c>
      <c r="P51" s="27" t="n">
        <v>0.801768299082474</v>
      </c>
      <c r="Q51" s="17" t="n">
        <f aca="false">(P52-P50)/2</f>
        <v>0.0842401200820412</v>
      </c>
    </row>
    <row r="52" customFormat="false" ht="15" hidden="false" customHeight="false" outlineLevel="0" collapsed="false">
      <c r="E52" s="22" t="n">
        <f aca="false">-8+26*0.2</f>
        <v>-2.8</v>
      </c>
      <c r="F52" s="17" t="n">
        <f aca="false">(1+2*$B$6/(3*(1+$B$7*(EXP(0-E52^2)+$B$8/(SQRT(PI())*(1+E52^2))))))/(1+2*$B$6/3)</f>
        <v>0.994893233584978</v>
      </c>
      <c r="H52" s="19" t="n">
        <v>31622.7766016838</v>
      </c>
      <c r="I52" s="17" t="n">
        <f aca="false">2*SUMPRODUCT(1-(1+2*$B$6/(3*(1+H52*(EXP(0-$P$41:$P$200^2)+$B$8/(SQRT(PI())*(1+$P$41:$P$200^2))))))/(1+2*$B$6/3),$Q$41:$Q$200)</f>
        <v>20.6217356718671</v>
      </c>
      <c r="J52" s="17" t="n">
        <f aca="false">2*SUMPRODUCT(1-(1+2*$B$6/(3*(1+H52*EXP(0-$P$41:$P$200^2))))/(1+2*$B$6/3),$Q$41:$Q$200)</f>
        <v>3.20682350282373</v>
      </c>
      <c r="K52" s="17" t="n">
        <f aca="false">SQRT(PI())*((2*$B$6/3)/(1+2*$B$6/3))*H52</f>
        <v>28024.9560819896</v>
      </c>
      <c r="P52" s="27" t="n">
        <v>0.886620921821389</v>
      </c>
      <c r="Q52" s="17" t="n">
        <f aca="false">(P53-P51)/2</f>
        <v>0.0855299476853828</v>
      </c>
    </row>
    <row r="53" customFormat="false" ht="15" hidden="false" customHeight="false" outlineLevel="0" collapsed="false">
      <c r="E53" s="22" t="n">
        <f aca="false">-8+27*0.2</f>
        <v>-2.6</v>
      </c>
      <c r="F53" s="17" t="n">
        <f aca="false">(1+2*$B$6/(3*(1+$B$7*(EXP(0-E53^2)+$B$8/(SQRT(PI())*(1+E53^2))))))/(1+2*$B$6/3)</f>
        <v>0.990743220526713</v>
      </c>
      <c r="H53" s="19" t="n">
        <v>56234.1325190349</v>
      </c>
      <c r="I53" s="17" t="n">
        <f aca="false">2*SUMPRODUCT(1-(1+2*$B$6/(3*(1+H53*(EXP(0-$P$41:$P$200^2)+$B$8/(SQRT(PI())*(1+$P$41:$P$200^2))))))/(1+2*$B$6/3),$Q$41:$Q$200)</f>
        <v>27.3363405636054</v>
      </c>
      <c r="J53" s="17" t="n">
        <f aca="false">2*SUMPRODUCT(1-(1+2*$B$6/(3*(1+H53*EXP(0-$P$41:$P$200^2))))/(1+2*$B$6/3),$Q$41:$Q$200)</f>
        <v>3.29613084510163</v>
      </c>
      <c r="K53" s="17" t="n">
        <f aca="false">SQRT(PI())*((2*$B$6/3)/(1+2*$B$6/3))*H53</f>
        <v>49836.2023678473</v>
      </c>
      <c r="P53" s="27" t="n">
        <v>0.97282819445324</v>
      </c>
      <c r="Q53" s="17" t="n">
        <f aca="false">(P54-P52)/2</f>
        <v>0.0869504547387839</v>
      </c>
    </row>
    <row r="54" customFormat="false" ht="15" hidden="false" customHeight="false" outlineLevel="0" collapsed="false">
      <c r="E54" s="22" t="n">
        <f aca="false">-8+28*0.2</f>
        <v>-2.4</v>
      </c>
      <c r="F54" s="17" t="n">
        <f aca="false">(1+2*$B$6/(3*(1+$B$7*(EXP(0-E54^2)+$B$8/(SQRT(PI())*(1+E54^2))))))/(1+2*$B$6/3)</f>
        <v>0.980835292109982</v>
      </c>
      <c r="H54" s="19" t="n">
        <v>100000</v>
      </c>
      <c r="I54" s="17" t="n">
        <f aca="false">2*SUMPRODUCT(1-(1+2*$B$6/(3*(1+H54*(EXP(0-$P$41:$P$200^2)+$B$8/(SQRT(PI())*(1+$P$41:$P$200^2))))))/(1+2*$B$6/3),$Q$41:$Q$200)</f>
        <v>36.1751255707164</v>
      </c>
      <c r="J54" s="17" t="n">
        <f aca="false">2*SUMPRODUCT(1-(1+2*$B$6/(3*(1+H54*EXP(0-$P$41:$P$200^2))))/(1+2*$B$6/3),$Q$41:$Q$200)</f>
        <v>3.38299929421125</v>
      </c>
      <c r="K54" s="17" t="n">
        <f aca="false">SQRT(PI())*((2*$B$6/3)/(1+2*$B$6/3))*H54</f>
        <v>88622.6925452758</v>
      </c>
      <c r="P54" s="27" t="n">
        <v>1.06052183129896</v>
      </c>
      <c r="Q54" s="17" t="n">
        <f aca="false">(P55-P53)/2</f>
        <v>0.0885038116057901</v>
      </c>
    </row>
    <row r="55" customFormat="false" ht="15" hidden="false" customHeight="false" outlineLevel="0" collapsed="false">
      <c r="E55" s="22" t="n">
        <f aca="false">-8+29*0.2</f>
        <v>-2.2</v>
      </c>
      <c r="F55" s="17" t="n">
        <f aca="false">(1+2*$B$6/(3*(1+$B$7*(EXP(0-E55^2)+$B$8/(SQRT(PI())*(1+E55^2))))))/(1+2*$B$6/3)</f>
        <v>0.959250129329401</v>
      </c>
      <c r="H55" s="19" t="n">
        <v>177827.941003892</v>
      </c>
      <c r="I55" s="17" t="n">
        <f aca="false">2*SUMPRODUCT(1-(1+2*$B$6/(3*(1+H55*(EXP(0-$P$41:$P$200^2)+$B$8/(SQRT(PI())*(1+$P$41:$P$200^2))))))/(1+2*$B$6/3),$Q$41:$Q$200)</f>
        <v>47.7462586055813</v>
      </c>
      <c r="J55" s="17" t="n">
        <f aca="false">2*SUMPRODUCT(1-(1+2*$B$6/(3*(1+H55*EXP(0-$P$41:$P$200^2))))/(1+2*$B$6/3),$Q$41:$Q$200)</f>
        <v>3.4676257179103</v>
      </c>
      <c r="K55" s="17" t="n">
        <f aca="false">SQRT(PI())*((2*$B$6/3)/(1+2*$B$6/3))*H55</f>
        <v>157595.909415474</v>
      </c>
      <c r="P55" s="27" t="n">
        <v>1.14983581766482</v>
      </c>
      <c r="Q55" s="17" t="n">
        <f aca="false">(P56-P54)/2</f>
        <v>0.0901923916284485</v>
      </c>
    </row>
    <row r="56" customFormat="false" ht="15" hidden="false" customHeight="false" outlineLevel="0" collapsed="false">
      <c r="E56" s="22" t="n">
        <f aca="false">-8+30*0.2</f>
        <v>-2</v>
      </c>
      <c r="F56" s="17" t="n">
        <f aca="false">(1+2*$B$6/(3*(1+$B$7*(EXP(0-E56^2)+$B$8/(SQRT(PI())*(1+E56^2))))))/(1+2*$B$6/3)</f>
        <v>0.918606145488419</v>
      </c>
      <c r="H56" s="19" t="n">
        <v>316227.766016838</v>
      </c>
      <c r="I56" s="17" t="n">
        <f aca="false">2*SUMPRODUCT(1-(1+2*$B$6/(3*(1+H56*(EXP(0-$P$41:$P$200^2)+$B$8/(SQRT(PI())*(1+$P$41:$P$200^2))))))/(1+2*$B$6/3),$Q$41:$Q$200)</f>
        <v>62.7897440735078</v>
      </c>
      <c r="J56" s="17" t="n">
        <f aca="false">2*SUMPRODUCT(1-(1+2*$B$6/(3*(1+H56*EXP(0-$P$41:$P$200^2))))/(1+2*$B$6/3),$Q$41:$Q$200)</f>
        <v>3.55018076102251</v>
      </c>
      <c r="K56" s="17" t="n">
        <f aca="false">SQRT(PI())*((2*$B$6/3)/(1+2*$B$6/3))*H56</f>
        <v>280249.560819896</v>
      </c>
      <c r="P56" s="27" t="n">
        <v>1.24090661455585</v>
      </c>
      <c r="Q56" s="17" t="n">
        <f aca="false">(P57-P55)/2</f>
        <v>0.0920187747534885</v>
      </c>
    </row>
    <row r="57" customFormat="false" ht="15" hidden="false" customHeight="false" outlineLevel="0" collapsed="false">
      <c r="E57" s="22" t="n">
        <f aca="false">-8+31*0.2</f>
        <v>-1.8</v>
      </c>
      <c r="F57" s="17" t="n">
        <f aca="false">(1+2*$B$6/(3*(1+$B$7*(EXP(0-E57^2)+$B$8/(SQRT(PI())*(1+E57^2))))))/(1+2*$B$6/3)</f>
        <v>0.855885739298277</v>
      </c>
      <c r="H57" s="19" t="n">
        <v>562341.325190349</v>
      </c>
      <c r="I57" s="17" t="n">
        <f aca="false">2*SUMPRODUCT(1-(1+2*$B$6/(3*(1+H57*(EXP(0-$P$41:$P$200^2)+$B$8/(SQRT(PI())*(1+$P$41:$P$200^2))))))/(1+2*$B$6/3),$Q$41:$Q$200)</f>
        <v>82.1654728101522</v>
      </c>
      <c r="J57" s="17" t="n">
        <f aca="false">2*SUMPRODUCT(1-(1+2*$B$6/(3*(1+H57*EXP(0-$P$41:$P$200^2))))/(1+2*$B$6/3),$Q$41:$Q$200)</f>
        <v>3.63081396562483</v>
      </c>
      <c r="K57" s="17" t="n">
        <f aca="false">SQRT(PI())*((2*$B$6/3)/(1+2*$B$6/3))*H57</f>
        <v>498362.023678473</v>
      </c>
      <c r="P57" s="27" t="n">
        <v>1.3338733671718</v>
      </c>
      <c r="Q57" s="17" t="n">
        <f aca="false">(P58-P56)/2</f>
        <v>0.093985751474168</v>
      </c>
    </row>
    <row r="58" customFormat="false" ht="15" hidden="false" customHeight="false" outlineLevel="0" collapsed="false">
      <c r="E58" s="22" t="n">
        <f aca="false">-8+32*0.2</f>
        <v>-1.6</v>
      </c>
      <c r="F58" s="17" t="n">
        <f aca="false">(1+2*$B$6/(3*(1+$B$7*(EXP(0-E58^2)+$B$8/(SQRT(PI())*(1+E58^2))))))/(1+2*$B$6/3)</f>
        <v>0.779502084140409</v>
      </c>
      <c r="H58" s="19" t="n">
        <v>1000000</v>
      </c>
      <c r="I58" s="17" t="n">
        <f aca="false">2*SUMPRODUCT(1-(1+2*$B$6/(3*(1+H58*(EXP(0-$P$41:$P$200^2)+$B$8/(SQRT(PI())*(1+$P$41:$P$200^2))))))/(1+2*$B$6/3),$Q$41:$Q$200)</f>
        <v>106.799335529045</v>
      </c>
      <c r="J58" s="17" t="n">
        <f aca="false">2*SUMPRODUCT(1-(1+2*$B$6/(3*(1+H58*EXP(0-$P$41:$P$200^2))))/(1+2*$B$6/3),$Q$41:$Q$200)</f>
        <v>3.70965682320698</v>
      </c>
      <c r="K58" s="17" t="n">
        <f aca="false">SQRT(PI())*((2*$B$6/3)/(1+2*$B$6/3))*H58</f>
        <v>886226.925452758</v>
      </c>
      <c r="P58" s="27" t="n">
        <v>1.42887811750419</v>
      </c>
      <c r="Q58" s="17" t="n">
        <f aca="false">(P59-P57)/2</f>
        <v>0.096096327093811</v>
      </c>
    </row>
    <row r="59" customFormat="false" ht="15" hidden="false" customHeight="false" outlineLevel="0" collapsed="false">
      <c r="E59" s="22" t="n">
        <f aca="false">-8+33*0.2</f>
        <v>-1.4</v>
      </c>
      <c r="F59" s="17" t="n">
        <f aca="false">(1+2*$B$6/(3*(1+$B$7*(EXP(0-E59^2)+$B$8/(SQRT(PI())*(1+E59^2))))))/(1+2*$B$6/3)</f>
        <v>0.705960949131993</v>
      </c>
      <c r="P59" s="27" t="n">
        <v>1.52606602135942</v>
      </c>
      <c r="Q59" s="17" t="n">
        <f aca="false">(P60-P58)/2</f>
        <v>0.0983537263175505</v>
      </c>
    </row>
    <row r="60" customFormat="false" ht="15" hidden="false" customHeight="false" outlineLevel="0" collapsed="false">
      <c r="E60" s="22" t="n">
        <f aca="false">-8+34*0.2</f>
        <v>-1.2</v>
      </c>
      <c r="F60" s="17" t="n">
        <f aca="false">(1+2*$B$6/(3*(1+$B$7*(EXP(0-E60^2)+$B$8/(SQRT(PI())*(1+E60^2))))))/(1+2*$B$6/3)</f>
        <v>0.647388274872848</v>
      </c>
      <c r="P60" s="27" t="n">
        <v>1.62558557013929</v>
      </c>
      <c r="Q60" s="17" t="n">
        <f aca="false">(P61-P59)/2</f>
        <v>0.100761398179288</v>
      </c>
    </row>
    <row r="61" customFormat="false" ht="15" hidden="false" customHeight="false" outlineLevel="0" collapsed="false">
      <c r="E61" s="22" t="n">
        <f aca="false">-8+35*0.2</f>
        <v>-1</v>
      </c>
      <c r="F61" s="17" t="n">
        <f aca="false">(1+2*$B$6/(3*(1+$B$7*(EXP(0-E61^2)+$B$8/(SQRT(PI())*(1+E61^2))))))/(1+2*$B$6/3)</f>
        <v>0.606224683809485</v>
      </c>
      <c r="P61" s="27" t="n">
        <v>1.72758881771799</v>
      </c>
      <c r="Q61" s="17" t="n">
        <f aca="false">(P62-P60)/2</f>
        <v>0.103323021311399</v>
      </c>
    </row>
    <row r="62" customFormat="false" ht="15" hidden="false" customHeight="false" outlineLevel="0" collapsed="false">
      <c r="E62" s="22" t="n">
        <f aca="false">-8+36*0.2</f>
        <v>-0.8</v>
      </c>
      <c r="F62" s="17" t="n">
        <f aca="false">(1+2*$B$6/(3*(1+$B$7*(EXP(0-E62^2)+$B$8/(SQRT(PI())*(1+E62^2))))))/(1+2*$B$6/3)</f>
        <v>0.579272895754522</v>
      </c>
      <c r="P62" s="27" t="n">
        <v>1.83223161276209</v>
      </c>
      <c r="Q62" s="17" t="n">
        <f aca="false">(P63-P61)/2</f>
        <v>0.106042509565248</v>
      </c>
    </row>
    <row r="63" customFormat="false" ht="15" hidden="false" customHeight="false" outlineLevel="0" collapsed="false">
      <c r="E63" s="22" t="n">
        <f aca="false">-8+37*0.2</f>
        <v>-0.6</v>
      </c>
      <c r="F63" s="17" t="n">
        <f aca="false">(1+2*$B$6/(3*(1+$B$7*(EXP(0-E63^2)+$B$8/(SQRT(PI())*(1+E63^2))))))/(1+2*$B$6/3)</f>
        <v>0.562357763586628</v>
      </c>
      <c r="P63" s="27" t="n">
        <v>1.93967383684849</v>
      </c>
      <c r="Q63" s="17" t="n">
        <f aca="false">(P64-P62)/2</f>
        <v>0.108924017991071</v>
      </c>
    </row>
    <row r="64" customFormat="false" ht="15" hidden="false" customHeight="false" outlineLevel="0" collapsed="false">
      <c r="E64" s="22" t="n">
        <f aca="false">-8+38*0.2</f>
        <v>-0.399999999999999</v>
      </c>
      <c r="F64" s="17" t="n">
        <f aca="false">(1+2*$B$6/(3*(1+$B$7*(EXP(0-E64^2)+$B$8/(SQRT(PI())*(1+E64^2))))))/(1+2*$B$6/3)</f>
        <v>0.552246194939668</v>
      </c>
      <c r="P64" s="27" t="n">
        <v>2.05007964874423</v>
      </c>
      <c r="Q64" s="17" t="n">
        <f aca="false">(P65-P63)/2</f>
        <v>0.111971949186396</v>
      </c>
    </row>
    <row r="65" customFormat="false" ht="15" hidden="false" customHeight="false" outlineLevel="0" collapsed="false">
      <c r="E65" s="22" t="n">
        <f aca="false">-8+39*0.2</f>
        <v>-0.199999999999999</v>
      </c>
      <c r="F65" s="17" t="n">
        <f aca="false">(1+2*$B$6/(3*(1+$B$7*(EXP(0-E65^2)+$B$8/(SQRT(PI())*(1+E65^2))))))/(1+2*$B$6/3)</f>
        <v>0.546894886113772</v>
      </c>
      <c r="P65" s="27" t="n">
        <v>2.16361773522128</v>
      </c>
      <c r="Q65" s="17" t="n">
        <f aca="false">(P66-P64)/2</f>
        <v>0.115190960022687</v>
      </c>
    </row>
    <row r="66" customFormat="false" ht="15" hidden="false" customHeight="false" outlineLevel="0" collapsed="false">
      <c r="E66" s="22" t="n">
        <f aca="false">-8+40*0.2</f>
        <v>0</v>
      </c>
      <c r="F66" s="17" t="n">
        <f aca="false">(1+2*$B$6/(3*(1+$B$7*(EXP(0-E66^2)+$B$8/(SQRT(PI())*(1+E66^2))))))/(1+2*$B$6/3)</f>
        <v>0.545222598915915</v>
      </c>
      <c r="P66" s="27" t="n">
        <v>2.28046156878961</v>
      </c>
      <c r="Q66" s="17" t="n">
        <f aca="false">(P67-P65)/2</f>
        <v>0.118585968760474</v>
      </c>
    </row>
    <row r="67" customFormat="false" ht="15" hidden="false" customHeight="false" outlineLevel="0" collapsed="false">
      <c r="E67" s="22" t="n">
        <f aca="false">-8+41*0.2</f>
        <v>0.200000000000001</v>
      </c>
      <c r="F67" s="17" t="n">
        <f aca="false">(1+2*$B$6/(3*(1+$B$7*(EXP(0-E67^2)+$B$8/(SQRT(PI())*(1+E67^2))))))/(1+2*$B$6/3)</f>
        <v>0.546894886113772</v>
      </c>
      <c r="P67" s="27" t="n">
        <v>2.40078967274223</v>
      </c>
      <c r="Q67" s="17" t="n">
        <f aca="false">(P68-P66)/2</f>
        <v>0.122162162563862</v>
      </c>
    </row>
    <row r="68" customFormat="false" ht="15" hidden="false" customHeight="false" outlineLevel="0" collapsed="false">
      <c r="E68" s="22" t="n">
        <f aca="false">-8+42*0.2</f>
        <v>0.4</v>
      </c>
      <c r="F68" s="17" t="n">
        <f aca="false">(1+2*$B$6/(3*(1+$B$7*(EXP(0-E68^2)+$B$8/(SQRT(PI())*(1+E68^2))))))/(1+2*$B$6/3)</f>
        <v>0.552246194939668</v>
      </c>
      <c r="P68" s="27" t="n">
        <v>2.52478589391733</v>
      </c>
      <c r="Q68" s="17" t="n">
        <f aca="false">(P69-P67)/2</f>
        <v>0.125925005425902</v>
      </c>
    </row>
    <row r="69" customFormat="false" ht="15" hidden="false" customHeight="false" outlineLevel="0" collapsed="false">
      <c r="E69" s="22" t="n">
        <f aca="false">-8+43*0.2</f>
        <v>0.6</v>
      </c>
      <c r="F69" s="17" t="n">
        <f aca="false">(1+2*$B$6/(3*(1+$B$7*(EXP(0-E69^2)+$B$8/(SQRT(PI())*(1+E69^2))))))/(1+2*$B$6/3)</f>
        <v>0.562357763586628</v>
      </c>
      <c r="P69" s="27" t="n">
        <v>2.65263968359403</v>
      </c>
      <c r="Q69" s="17" t="n">
        <f aca="false">(P70-P68)/2</f>
        <v>0.129880246516902</v>
      </c>
    </row>
    <row r="70" customFormat="false" ht="15" hidden="false" customHeight="false" outlineLevel="0" collapsed="false">
      <c r="E70" s="22" t="n">
        <f aca="false">-8+44*0.2</f>
        <v>0.800000000000001</v>
      </c>
      <c r="F70" s="17" t="n">
        <f aca="false">(1+2*$B$6/(3*(1+$B$7*(EXP(0-E70^2)+$B$8/(SQRT(PI())*(1+E70^2))))))/(1+2*$B$6/3)</f>
        <v>0.579272895754522</v>
      </c>
      <c r="P70" s="27" t="n">
        <v>2.78454638695113</v>
      </c>
      <c r="Q70" s="17" t="n">
        <f aca="false">(P71-P69)/2</f>
        <v>0.134033928968474</v>
      </c>
    </row>
    <row r="71" customFormat="false" ht="15" hidden="false" customHeight="false" outlineLevel="0" collapsed="false">
      <c r="E71" s="22" t="n">
        <f aca="false">-8+45*0.2</f>
        <v>1</v>
      </c>
      <c r="F71" s="17" t="n">
        <f aca="false">(1+2*$B$6/(3*(1+$B$7*(EXP(0-E71^2)+$B$8/(SQRT(PI())*(1+E71^2))))))/(1+2*$B$6/3)</f>
        <v>0.606224683809485</v>
      </c>
      <c r="P71" s="27" t="n">
        <v>2.92070754153098</v>
      </c>
      <c r="Q71" s="17" t="n">
        <f aca="false">(P72-P70)/2</f>
        <v>0.138392399106711</v>
      </c>
    </row>
    <row r="72" customFormat="false" ht="15" hidden="false" customHeight="false" outlineLevel="0" collapsed="false">
      <c r="E72" s="22" t="n">
        <f aca="false">-8+46*0.2</f>
        <v>1.2</v>
      </c>
      <c r="F72" s="17" t="n">
        <f aca="false">(1+2*$B$6/(3*(1+$B$7*(EXP(0-E72^2)+$B$8/(SQRT(PI())*(1+E72^2))))))/(1+2*$B$6/3)</f>
        <v>0.647388274872848</v>
      </c>
      <c r="P72" s="27" t="n">
        <v>3.06133118516456</v>
      </c>
      <c r="Q72" s="17" t="n">
        <f aca="false">(P73-P71)/2</f>
        <v>0.1429623161486</v>
      </c>
    </row>
    <row r="73" customFormat="false" ht="15" hidden="false" customHeight="false" outlineLevel="0" collapsed="false">
      <c r="E73" s="22" t="n">
        <f aca="false">-8+47*0.2</f>
        <v>1.4</v>
      </c>
      <c r="F73" s="17" t="n">
        <f aca="false">(1+2*$B$6/(3*(1+$B$7*(EXP(0-E73^2)+$B$8/(SQRT(PI())*(1+E73^2))))))/(1+2*$B$6/3)</f>
        <v>0.705960949131993</v>
      </c>
      <c r="P73" s="27" t="n">
        <v>3.20663217382818</v>
      </c>
      <c r="Q73" s="17" t="n">
        <f aca="false">(P74-P72)/2</f>
        <v>0.147750662376511</v>
      </c>
    </row>
    <row r="74" customFormat="false" ht="15" hidden="false" customHeight="false" outlineLevel="0" collapsed="false">
      <c r="E74" s="22" t="n">
        <f aca="false">-8+48*0.2</f>
        <v>1.6</v>
      </c>
      <c r="F74" s="17" t="n">
        <f aca="false">(1+2*$B$6/(3*(1+$B$7*(EXP(0-E74^2)+$B$8/(SQRT(PI())*(1+E74^2))))))/(1+2*$B$6/3)</f>
        <v>0.77950208414041</v>
      </c>
      <c r="P74" s="27" t="n">
        <v>3.35683250991758</v>
      </c>
      <c r="Q74" s="17" t="n">
        <f aca="false">(P75-P73)/2</f>
        <v>0.152764753806283</v>
      </c>
    </row>
    <row r="75" customFormat="false" ht="15" hidden="false" customHeight="false" outlineLevel="0" collapsed="false">
      <c r="E75" s="22" t="n">
        <f aca="false">-8+49*0.2</f>
        <v>1.8</v>
      </c>
      <c r="F75" s="17" t="n">
        <f aca="false">(1+2*$B$6/(3*(1+$B$7*(EXP(0-E75^2)+$B$8/(SQRT(PI())*(1+E75^2))))))/(1+2*$B$6/3)</f>
        <v>0.855885739298278</v>
      </c>
      <c r="P75" s="27" t="n">
        <v>3.51216168144075</v>
      </c>
      <c r="Q75" s="17" t="n">
        <f aca="false">(P76-P74)/2</f>
        <v>0.158012251365207</v>
      </c>
    </row>
    <row r="76" customFormat="false" ht="15" hidden="false" customHeight="false" outlineLevel="0" collapsed="false">
      <c r="E76" s="22" t="n">
        <f aca="false">-8+50*0.2</f>
        <v>2</v>
      </c>
      <c r="F76" s="17" t="n">
        <f aca="false">(1+2*$B$6/(3*(1+$B$7*(EXP(0-E76^2)+$B$8/(SQRT(PI())*(1+E76^2))))))/(1+2*$B$6/3)</f>
        <v>0.918606145488419</v>
      </c>
      <c r="P76" s="27" t="n">
        <v>3.67285701264799</v>
      </c>
      <c r="Q76" s="17" t="n">
        <f aca="false">(P77-P75)/2</f>
        <v>0.163501172597006</v>
      </c>
    </row>
    <row r="77" customFormat="false" ht="15" hidden="false" customHeight="false" outlineLevel="0" collapsed="false">
      <c r="E77" s="22" t="n">
        <f aca="false">-8+51*0.2</f>
        <v>2.2</v>
      </c>
      <c r="F77" s="17" t="n">
        <f aca="false">(1+2*$B$6/(3*(1+$B$7*(EXP(0-E77^2)+$B$8/(SQRT(PI())*(1+E77^2))))))/(1+2*$B$6/3)</f>
        <v>0.959250129329401</v>
      </c>
      <c r="P77" s="27" t="n">
        <v>3.83916402663476</v>
      </c>
      <c r="Q77" s="17" t="n">
        <f aca="false">(P78-P76)/2</f>
        <v>0.169239903911675</v>
      </c>
    </row>
    <row r="78" customFormat="false" ht="15" hidden="false" customHeight="false" outlineLevel="0" collapsed="false">
      <c r="E78" s="22" t="n">
        <f aca="false">-8+52*0.2</f>
        <v>2.4</v>
      </c>
      <c r="F78" s="17" t="n">
        <f aca="false">(1+2*$B$6/(3*(1+$B$7*(EXP(0-E78^2)+$B$8/(SQRT(PI())*(1+E78^2))))))/(1+2*$B$6/3)</f>
        <v>0.980835292109982</v>
      </c>
      <c r="P78" s="27" t="n">
        <v>4.01133682047134</v>
      </c>
      <c r="Q78" s="17" t="n">
        <f aca="false">(P79-P77)/2</f>
        <v>0.175237213398899</v>
      </c>
    </row>
    <row r="79" customFormat="false" ht="15" hidden="false" customHeight="false" outlineLevel="0" collapsed="false">
      <c r="E79" s="22" t="n">
        <f aca="false">-8+53*0.2</f>
        <v>2.6</v>
      </c>
      <c r="F79" s="17" t="n">
        <f aca="false">(1+2*$B$6/(3*(1+$B$7*(EXP(0-E79^2)+$B$8/(SQRT(PI())*(1+E79^2))))))/(1+2*$B$6/3)</f>
        <v>0.990743220526713</v>
      </c>
      <c r="P79" s="27" t="n">
        <v>4.18963845343256</v>
      </c>
      <c r="Q79" s="17" t="n">
        <f aca="false">(P80-P78)/2</f>
        <v>0.181502264224644</v>
      </c>
    </row>
    <row r="80" customFormat="false" ht="15" hidden="false" customHeight="false" outlineLevel="0" collapsed="false">
      <c r="E80" s="22" t="n">
        <f aca="false">-8+54*0.2</f>
        <v>2.8</v>
      </c>
      <c r="F80" s="17" t="n">
        <f aca="false">(1+2*$B$6/(3*(1+$B$7*(EXP(0-E80^2)+$B$8/(SQRT(PI())*(1+E80^2))))))/(1+2*$B$6/3)</f>
        <v>0.994893233584978</v>
      </c>
      <c r="P80" s="27" t="n">
        <v>4.37434134892063</v>
      </c>
      <c r="Q80" s="17" t="n">
        <f aca="false">(P81-P79)/2</f>
        <v>0.188044628631366</v>
      </c>
    </row>
    <row r="81" customFormat="false" ht="15" hidden="false" customHeight="false" outlineLevel="0" collapsed="false">
      <c r="E81" s="22" t="n">
        <f aca="false">-8+55*0.2</f>
        <v>3</v>
      </c>
      <c r="F81" s="17" t="n">
        <f aca="false">(1+2*$B$6/(3*(1+$B$7*(EXP(0-E81^2)+$B$8/(SQRT(PI())*(1+E81^2))))))/(1+2*$B$6/3)</f>
        <v>0.996585481271694</v>
      </c>
      <c r="P81" s="27" t="n">
        <v>4.56572771069529</v>
      </c>
      <c r="Q81" s="17" t="n">
        <f aca="false">(P82-P80)/2</f>
        <v>0.194874302563243</v>
      </c>
    </row>
    <row r="82" customFormat="false" ht="15" hidden="false" customHeight="false" outlineLevel="0" collapsed="false">
      <c r="E82" s="22" t="n">
        <f aca="false">-8+56*0.2</f>
        <v>3.2</v>
      </c>
      <c r="F82" s="17" t="n">
        <f aca="false">(1+2*$B$6/(3*(1+$B$7*(EXP(0-E82^2)+$B$8/(SQRT(PI())*(1+E82^2))))))/(1+2*$B$6/3)</f>
        <v>0.997326072274732</v>
      </c>
      <c r="P82" s="27" t="n">
        <v>4.76408995404712</v>
      </c>
      <c r="Q82" s="17" t="n">
        <f aca="false">(P83-P81)/2</f>
        <v>0.20200172093878</v>
      </c>
    </row>
    <row r="83" customFormat="false" ht="15" hidden="false" customHeight="false" outlineLevel="0" collapsed="false">
      <c r="E83" s="22" t="n">
        <f aca="false">-8+57*0.2</f>
        <v>3.4</v>
      </c>
      <c r="F83" s="17" t="n">
        <f aca="false">(1+2*$B$6/(3*(1+$B$7*(EXP(0-E83^2)+$B$8/(SQRT(PI())*(1+E83^2))))))/(1+2*$B$6/3)</f>
        <v>0.997716795418441</v>
      </c>
      <c r="P83" s="27" t="n">
        <v>4.96973115257285</v>
      </c>
      <c r="Q83" s="17" t="n">
        <f aca="false">(P84-P82)/2</f>
        <v>0.209437773594096</v>
      </c>
    </row>
    <row r="84" customFormat="false" ht="15" hidden="false" customHeight="false" outlineLevel="0" collapsed="false">
      <c r="E84" s="22" t="n">
        <f aca="false">-8+58*0.2</f>
        <v>3.6</v>
      </c>
      <c r="F84" s="17" t="n">
        <f aca="false">(1+2*$B$6/(3*(1+$B$7*(EXP(0-E84^2)+$B$8/(SQRT(PI())*(1+E84^2))))))/(1+2*$B$6/3)</f>
        <v>0.997975729449817</v>
      </c>
      <c r="P84" s="27" t="n">
        <v>5.18296550123531</v>
      </c>
      <c r="Q84" s="17" t="n">
        <f aca="false">(P85-P83)/2</f>
        <v>0.217193821921285</v>
      </c>
    </row>
    <row r="85" customFormat="false" ht="15" hidden="false" customHeight="false" outlineLevel="0" collapsed="false">
      <c r="E85" s="22" t="n">
        <f aca="false">-8+59*0.2</f>
        <v>3.8</v>
      </c>
      <c r="F85" s="17" t="n">
        <f aca="false">(1+2*$B$6/(3*(1+$B$7*(EXP(0-E85^2)+$B$8/(SQRT(PI())*(1+E85^2))))))/(1+2*$B$6/3)</f>
        <v>0.998176954830855</v>
      </c>
      <c r="P85" s="27" t="n">
        <v>5.40411879641542</v>
      </c>
      <c r="Q85" s="17" t="n">
        <f aca="false">(P86-P84)/2</f>
        <v>0.225281716227257</v>
      </c>
    </row>
    <row r="86" customFormat="false" ht="15" hidden="false" customHeight="false" outlineLevel="0" collapsed="false">
      <c r="E86" s="22" t="n">
        <f aca="false">-8+60*0.2</f>
        <v>4</v>
      </c>
      <c r="F86" s="17" t="n">
        <f aca="false">(1+2*$B$6/(3*(1+$B$7*(EXP(0-E86^2)+$B$8/(SQRT(PI())*(1+E86^2))))))/(1+2*$B$6/3)</f>
        <v>0.998345548788121</v>
      </c>
      <c r="P86" s="27" t="n">
        <v>5.63352893368982</v>
      </c>
      <c r="Q86" s="17" t="n">
        <f aca="false">(P87-P85)/2</f>
        <v>0.233713813839577</v>
      </c>
    </row>
    <row r="87" customFormat="false" ht="15" hidden="false" customHeight="false" outlineLevel="0" collapsed="false">
      <c r="E87" s="22" t="n">
        <f aca="false">-8+61*0.2</f>
        <v>4.2</v>
      </c>
      <c r="F87" s="17" t="n">
        <f aca="false">(1+2*$B$6/(3*(1+$B$7*(EXP(0-E87^2)+$B$8/(SQRT(PI())*(1+E87^2))))))/(1+2*$B$6/3)</f>
        <v>0.998491074273794</v>
      </c>
      <c r="P87" s="27" t="n">
        <v>5.87154642409457</v>
      </c>
      <c r="Q87" s="17" t="n">
        <f aca="false">(P88-P86)/2</f>
        <v>0.242502997986968</v>
      </c>
    </row>
    <row r="88" customFormat="false" ht="15" hidden="false" customHeight="false" outlineLevel="0" collapsed="false">
      <c r="E88" s="22" t="n">
        <f aca="false">-8+62*0.2</f>
        <v>4.4</v>
      </c>
      <c r="F88" s="17" t="n">
        <f aca="false">(1+2*$B$6/(3*(1+$B$7*(EXP(0-E88^2)+$B$8/(SQRT(PI())*(1+E88^2))))))/(1+2*$B$6/3)</f>
        <v>0.998618275023392</v>
      </c>
      <c r="P88" s="27" t="n">
        <v>6.11853492966376</v>
      </c>
      <c r="Q88" s="17" t="n">
        <f aca="false">(P89-P87)/2</f>
        <v>0.251662697483337</v>
      </c>
    </row>
    <row r="89" customFormat="false" ht="15" hidden="false" customHeight="false" outlineLevel="0" collapsed="false">
      <c r="E89" s="22" t="n">
        <f aca="false">-8+63*0.2</f>
        <v>4.6</v>
      </c>
      <c r="F89" s="17" t="n">
        <f aca="false">(1+2*$B$6/(3*(1+$B$7*(EXP(0-E89^2)+$B$8/(SQRT(PI())*(1+E89^2))))))/(1+2*$B$6/3)</f>
        <v>0.998730238629316</v>
      </c>
      <c r="P89" s="27" t="n">
        <v>6.37487181906125</v>
      </c>
      <c r="Q89" s="17" t="n">
        <f aca="false">(P90-P88)/2</f>
        <v>0.26120690724538</v>
      </c>
    </row>
    <row r="90" customFormat="false" ht="15" hidden="false" customHeight="false" outlineLevel="0" collapsed="false">
      <c r="E90" s="22" t="n">
        <f aca="false">-8+64*0.2</f>
        <v>4.8</v>
      </c>
      <c r="F90" s="17" t="n">
        <f aca="false">(1+2*$B$6/(3*(1+$B$7*(EXP(0-E90^2)+$B$8/(SQRT(PI())*(1+E90^2))))))/(1+2*$B$6/3)</f>
        <v>0.998829307746951</v>
      </c>
      <c r="P90" s="27" t="n">
        <v>6.64094874415452</v>
      </c>
      <c r="Q90" s="17" t="n">
        <f aca="false">(P91-P89)/2</f>
        <v>0.27115020967513</v>
      </c>
    </row>
    <row r="91" customFormat="false" ht="15" hidden="false" customHeight="false" outlineLevel="0" collapsed="false">
      <c r="E91" s="22" t="n">
        <f aca="false">-8+65*0.2</f>
        <v>5</v>
      </c>
      <c r="F91" s="17" t="n">
        <f aca="false">(1+2*$B$6/(3*(1+$B$7*(EXP(0-E91^2)+$B$8/(SQRT(PI())*(1+E91^2))))))/(1+2*$B$6/3)</f>
        <v>0.998917369227752</v>
      </c>
      <c r="P91" s="27" t="n">
        <v>6.91717223841151</v>
      </c>
      <c r="Q91" s="17" t="n">
        <f aca="false">(P92-P90)/2</f>
        <v>0.281507796940106</v>
      </c>
    </row>
    <row r="92" customFormat="false" ht="15" hidden="false" customHeight="false" outlineLevel="0" collapsed="false">
      <c r="E92" s="22" t="n">
        <f aca="false">-8+66*0.2</f>
        <v>5.2</v>
      </c>
      <c r="F92" s="17" t="n">
        <f aca="false">(1+2*$B$6/(3*(1+$B$7*(EXP(0-E92^2)+$B$8/(SQRT(PI())*(1+E92^2))))))/(1+2*$B$6/3)</f>
        <v>0.998995975982852</v>
      </c>
      <c r="P92" s="27" t="n">
        <v>7.20396433803473</v>
      </c>
      <c r="Q92" s="17" t="n">
        <f aca="false">(P93-P91)/2</f>
        <v>0.29229549418512</v>
      </c>
    </row>
    <row r="93" customFormat="false" ht="15" hidden="false" customHeight="false" outlineLevel="0" collapsed="false">
      <c r="E93" s="22" t="n">
        <f aca="false">-8+67*0.2</f>
        <v>5.4</v>
      </c>
      <c r="F93" s="17" t="n">
        <f aca="false">(1+2*$B$6/(3*(1+$B$7*(EXP(0-E93^2)+$B$8/(SQRT(PI())*(1+E93^2))))))/(1+2*$B$6/3)</f>
        <v>0.999066418848346</v>
      </c>
      <c r="P93" s="27" t="n">
        <v>7.50176322678175</v>
      </c>
      <c r="Q93" s="17" t="n">
        <f aca="false">(P94-P92)/2</f>
        <v>0.303529783711185</v>
      </c>
    </row>
    <row r="94" customFormat="false" ht="15" hidden="false" customHeight="false" outlineLevel="0" collapsed="false">
      <c r="E94" s="22" t="n">
        <f aca="false">-8+68*0.2</f>
        <v>5.6</v>
      </c>
      <c r="F94" s="17" t="n">
        <f aca="false">(1+2*$B$6/(3*(1+$B$7*(EXP(0-E94^2)+$B$8/(SQRT(PI())*(1+E94^2))))))/(1+2*$B$6/3)</f>
        <v>0.999129778054217</v>
      </c>
      <c r="P94" s="27" t="n">
        <v>7.8110239054571</v>
      </c>
      <c r="Q94" s="17" t="n">
        <f aca="false">(P95-P93)/2</f>
        <v>0.315227830158485</v>
      </c>
    </row>
    <row r="95" customFormat="false" ht="15" hidden="false" customHeight="false" outlineLevel="0" collapsed="false">
      <c r="E95" s="22" t="n">
        <f aca="false">-8+69*0.2</f>
        <v>5.8</v>
      </c>
      <c r="F95" s="17" t="n">
        <f aca="false">(1+2*$B$6/(3*(1+$B$7*(EXP(0-E95^2)+$B$8/(SQRT(PI())*(1+E95^2))))))/(1+2*$B$6/3)</f>
        <v>0.999186962804096</v>
      </c>
      <c r="P95" s="27" t="n">
        <v>8.13221888709872</v>
      </c>
      <c r="Q95" s="17" t="n">
        <f aca="false">(P96-P94)/2</f>
        <v>0.32740750673188</v>
      </c>
    </row>
    <row r="96" customFormat="false" ht="15" hidden="false" customHeight="false" outlineLevel="0" collapsed="false">
      <c r="E96" s="22" t="n">
        <f aca="false">-8+70*0.2</f>
        <v>6</v>
      </c>
      <c r="F96" s="17" t="n">
        <f aca="false">(1+2*$B$6/(3*(1+$B$7*(EXP(0-E96^2)+$B$8/(SQRT(PI())*(1+E96^2))))))/(1+2*$B$6/3)</f>
        <v>0.999238742437332</v>
      </c>
      <c r="P96" s="27" t="n">
        <v>8.46583891892086</v>
      </c>
      <c r="Q96" s="17" t="n">
        <f aca="false">(P97-P95)/2</f>
        <v>0.340087422509003</v>
      </c>
    </row>
    <row r="97" customFormat="false" ht="15" hidden="false" customHeight="false" outlineLevel="0" collapsed="false">
      <c r="E97" s="22" t="n">
        <f aca="false">-8+71*0.2</f>
        <v>6.2</v>
      </c>
      <c r="F97" s="17" t="n">
        <f aca="false">(1+2*$B$6/(3*(1+$B$7*(EXP(0-E97^2)+$B$8/(SQRT(PI())*(1+E97^2))))))/(1+2*$B$6/3)</f>
        <v>0.999285771218724</v>
      </c>
      <c r="P97" s="27" t="n">
        <v>8.81239373211673</v>
      </c>
      <c r="Q97" s="17" t="n">
        <f aca="false">(P98-P96)/2</f>
        <v>0.35328695087269</v>
      </c>
    </row>
    <row r="98" customFormat="false" ht="15" hidden="false" customHeight="false" outlineLevel="0" collapsed="false">
      <c r="E98" s="22" t="n">
        <f aca="false">-8+72*0.2</f>
        <v>6.4</v>
      </c>
      <c r="F98" s="17" t="n">
        <f aca="false">(1+2*$B$6/(3*(1+$B$7*(EXP(0-E98^2)+$B$8/(SQRT(PI())*(1+E98^2))))))/(1+2*$B$6/3)</f>
        <v>0.999328608199444</v>
      </c>
      <c r="P98" s="27" t="n">
        <v>9.17241282066624</v>
      </c>
      <c r="Q98" s="17" t="n">
        <f aca="false">(P99-P97)/2</f>
        <v>0.367026259111177</v>
      </c>
    </row>
    <row r="99" customFormat="false" ht="15" hidden="false" customHeight="false" outlineLevel="0" collapsed="false">
      <c r="E99" s="22" t="n">
        <f aca="false">-8+73*0.2</f>
        <v>6.6</v>
      </c>
      <c r="F99" s="17" t="n">
        <f aca="false">(1+2*$B$6/(3*(1+$B$7*(EXP(0-E99^2)+$B$8/(SQRT(PI())*(1+E99^2))))))/(1+2*$B$6/3)</f>
        <v>0.99936773322835</v>
      </c>
      <c r="P99" s="27" t="n">
        <v>9.54644625033908</v>
      </c>
      <c r="Q99" s="17" t="n">
        <f aca="false">(P100-P98)/2</f>
        <v>0.381326339231281</v>
      </c>
    </row>
    <row r="100" customFormat="false" ht="15" hidden="false" customHeight="false" outlineLevel="0" collapsed="false">
      <c r="E100" s="22" t="n">
        <f aca="false">-8+74*0.2</f>
        <v>6.8</v>
      </c>
      <c r="F100" s="17" t="n">
        <f aca="false">(1+2*$B$6/(3*(1+$B$7*(EXP(0-E100^2)+$B$8/(SQRT(PI())*(1+E100^2))))))/(1+2*$B$6/3)</f>
        <v>0.999403559935431</v>
      </c>
      <c r="P100" s="27" t="n">
        <v>9.9350654991288</v>
      </c>
      <c r="Q100" s="17" t="n">
        <f aca="false">(P101-P99)/2</f>
        <v>0.396209040031651</v>
      </c>
    </row>
    <row r="101" customFormat="false" ht="15" hidden="false" customHeight="false" outlineLevel="0" collapsed="false">
      <c r="E101" s="22" t="n">
        <f aca="false">-8+75*0.2</f>
        <v>7</v>
      </c>
      <c r="F101" s="17" t="n">
        <f aca="false">(1+2*$B$6/(3*(1+$B$7*(EXP(0-E101^2)+$B$8/(SQRT(PI())*(1+E101^2))))))/(1+2*$B$6/3)</f>
        <v>0.999436446318686</v>
      </c>
      <c r="P101" s="27" t="n">
        <v>10.3388643304024</v>
      </c>
      <c r="Q101" s="17" t="n">
        <f aca="false">(P102-P100)/2</f>
        <v>0.411697100485118</v>
      </c>
    </row>
    <row r="102" customFormat="false" ht="15" hidden="false" customHeight="false" outlineLevel="0" collapsed="false">
      <c r="E102" s="22" t="n">
        <f aca="false">-8+76*0.2</f>
        <v>7.2</v>
      </c>
      <c r="F102" s="17" t="n">
        <f aca="false">(1+2*$B$6/(3*(1+$B$7*(EXP(0-E102^2)+$B$8/(SQRT(PI())*(1+E102^2))))))/(1+2*$B$6/3)</f>
        <v>0.999466703422786</v>
      </c>
      <c r="P102" s="27" t="n">
        <v>10.758459700099</v>
      </c>
      <c r="Q102" s="17" t="n">
        <f aca="false">(P103-P101)/2</f>
        <v>0.42781418448108</v>
      </c>
    </row>
    <row r="103" customFormat="false" ht="15" hidden="false" customHeight="false" outlineLevel="0" collapsed="false">
      <c r="E103" s="22" t="n">
        <f aca="false">-8+77*0.2</f>
        <v>7.4</v>
      </c>
      <c r="F103" s="17" t="n">
        <f aca="false">(1+2*$B$6/(3*(1+$B$7*(EXP(0-E103^2)+$B$8/(SQRT(PI())*(1+E103^2))))))/(1+2*$B$6/3)</f>
        <v>0.999494602489665</v>
      </c>
      <c r="P103" s="27" t="n">
        <v>11.1944926993645</v>
      </c>
      <c r="Q103" s="17" t="n">
        <f aca="false">(P104-P102)/2</f>
        <v>0.444584916981085</v>
      </c>
    </row>
    <row r="104" customFormat="false" ht="15" hidden="false" customHeight="false" outlineLevel="0" collapsed="false">
      <c r="E104" s="22" t="n">
        <f aca="false">-8+78*0.2</f>
        <v>7.6</v>
      </c>
      <c r="F104" s="17" t="n">
        <f aca="false">(1+2*$B$6/(3*(1+$B$7*(EXP(0-E104^2)+$B$8/(SQRT(PI())*(1+E104^2))))))/(1+2*$B$6/3)</f>
        <v>0.999520380878724</v>
      </c>
      <c r="P104" s="27" t="n">
        <v>11.6476295340612</v>
      </c>
      <c r="Q104" s="17" t="n">
        <f aca="false">(P105-P103)/2</f>
        <v>0.462034921642805</v>
      </c>
    </row>
    <row r="105" customFormat="false" ht="15" hidden="false" customHeight="false" outlineLevel="0" collapsed="false">
      <c r="E105" s="22" t="n">
        <f aca="false">-8+79*0.2</f>
        <v>7.8</v>
      </c>
      <c r="F105" s="17" t="n">
        <f aca="false">(1+2*$B$6/(3*(1+$B$7*(EXP(0-E105^2)+$B$8/(SQRT(PI())*(1+E105^2))))))/(1+2*$B$6/3)</f>
        <v>0.999544246991149</v>
      </c>
      <c r="P105" s="27" t="n">
        <v>12.1185625426502</v>
      </c>
      <c r="Q105" s="17" t="n">
        <f aca="false">(P106-P104)/2</f>
        <v>0.480190859969895</v>
      </c>
    </row>
    <row r="106" customFormat="false" ht="15" hidden="false" customHeight="false" outlineLevel="0" collapsed="false">
      <c r="E106" s="22" t="n">
        <f aca="false">-8+80*0.2</f>
        <v>8</v>
      </c>
      <c r="F106" s="17" t="n">
        <f aca="false">(1+2*$B$6/(3*(1+$B$7*(EXP(0-E106^2)+$B$8/(SQRT(PI())*(1+E106^2))))))/(1+2*$B$6/3)</f>
        <v>0.999566384384061</v>
      </c>
      <c r="P106" s="27" t="n">
        <v>12.608011254001</v>
      </c>
      <c r="Q106" s="17" t="n">
        <f aca="false">(P107-P105)/2</f>
        <v>0.499080472047566</v>
      </c>
    </row>
    <row r="107" customFormat="false" ht="15" hidden="false" customHeight="false" outlineLevel="0" collapsed="false">
      <c r="P107" s="27" t="n">
        <v>13.1167234867453</v>
      </c>
      <c r="Q107" s="17" t="n">
        <f aca="false">(P108-P106)/2</f>
        <v>0.518732618926051</v>
      </c>
    </row>
    <row r="108" customFormat="false" ht="15" hidden="false" customHeight="false" outlineLevel="0" collapsed="false">
      <c r="P108" s="27" t="n">
        <v>13.6454764918531</v>
      </c>
      <c r="Q108" s="17" t="n">
        <f aca="false">(P109-P107)/2</f>
        <v>0.539177326716859</v>
      </c>
    </row>
    <row r="109" customFormat="false" ht="15" hidden="false" customHeight="false" outlineLevel="0" collapsed="false">
      <c r="P109" s="27" t="n">
        <v>14.195078140179</v>
      </c>
      <c r="Q109" s="17" t="n">
        <f aca="false">(P110-P108)/2</f>
        <v>0.560445832469054</v>
      </c>
    </row>
    <row r="110" customFormat="false" ht="15" hidden="false" customHeight="false" outlineLevel="0" collapsed="false">
      <c r="P110" s="27" t="n">
        <v>14.7663681567912</v>
      </c>
      <c r="Q110" s="17" t="n">
        <f aca="false">(P111-P109)/2</f>
        <v>0.582570631895655</v>
      </c>
    </row>
    <row r="111" customFormat="false" ht="15" hidden="false" customHeight="false" outlineLevel="0" collapsed="false">
      <c r="P111" s="27" t="n">
        <v>15.3602194039703</v>
      </c>
      <c r="Q111" s="17" t="n">
        <f aca="false">(P112-P110)/2</f>
        <v>0.605585529023196</v>
      </c>
    </row>
    <row r="112" customFormat="false" ht="15" hidden="false" customHeight="false" outlineLevel="0" collapsed="false">
      <c r="P112" s="27" t="n">
        <v>15.9775392148376</v>
      </c>
      <c r="Q112" s="17" t="n">
        <f aca="false">(P113-P111)/2</f>
        <v>0.62952568784022</v>
      </c>
    </row>
    <row r="113" customFormat="false" ht="15" hidden="false" customHeight="false" outlineLevel="0" collapsed="false">
      <c r="P113" s="27" t="n">
        <v>16.6192707796508</v>
      </c>
      <c r="Q113" s="17" t="n">
        <f aca="false">(P114-P112)/2</f>
        <v>0.654427686023589</v>
      </c>
    </row>
    <row r="114" customFormat="false" ht="15" hidden="false" customHeight="false" outlineLevel="0" collapsed="false">
      <c r="P114" s="27" t="n">
        <v>17.2863945868848</v>
      </c>
      <c r="Q114" s="17" t="n">
        <f aca="false">(P115-P113)/2</f>
        <v>0.680329570824775</v>
      </c>
    </row>
    <row r="115" customFormat="false" ht="15" hidden="false" customHeight="false" outlineLevel="0" collapsed="false">
      <c r="P115" s="27" t="n">
        <v>17.9799299213003</v>
      </c>
      <c r="Q115" s="17" t="n">
        <f aca="false">(P116-P114)/2</f>
        <v>0.70727091720148</v>
      </c>
    </row>
    <row r="116" customFormat="false" ht="15" hidden="false" customHeight="false" outlineLevel="0" collapsed="false">
      <c r="P116" s="27" t="n">
        <v>18.7009364212877</v>
      </c>
      <c r="Q116" s="17" t="n">
        <f aca="false">(P117-P115)/2</f>
        <v>0.735292888283375</v>
      </c>
    </row>
    <row r="117" customFormat="false" ht="15" hidden="false" customHeight="false" outlineLevel="0" collapsed="false">
      <c r="P117" s="27" t="n">
        <v>19.4505156978671</v>
      </c>
      <c r="Q117" s="17" t="n">
        <f aca="false">(P118-P116)/2</f>
        <v>0.764438298264436</v>
      </c>
    </row>
    <row r="118" customFormat="false" ht="15" hidden="false" customHeight="false" outlineLevel="0" collapsed="false">
      <c r="P118" s="27" t="n">
        <v>20.2298130178166</v>
      </c>
      <c r="Q118" s="17" t="n">
        <f aca="false">(P119-P117)/2</f>
        <v>0.794751677817855</v>
      </c>
    </row>
    <row r="119" customFormat="false" ht="15" hidden="false" customHeight="false" outlineLevel="0" collapsed="false">
      <c r="P119" s="27" t="n">
        <v>21.0400190535028</v>
      </c>
      <c r="Q119" s="17" t="n">
        <f aca="false">(P120-P118)/2</f>
        <v>0.826279342133525</v>
      </c>
    </row>
    <row r="120" customFormat="false" ht="15" hidden="false" customHeight="false" outlineLevel="0" collapsed="false">
      <c r="P120" s="27" t="n">
        <v>21.8823717020837</v>
      </c>
      <c r="Q120" s="17" t="n">
        <f aca="false">(P121-P119)/2</f>
        <v>0.8590694616821</v>
      </c>
    </row>
    <row r="121" customFormat="false" ht="15" hidden="false" customHeight="false" outlineLevel="0" collapsed="false">
      <c r="P121" s="27" t="n">
        <v>22.758157976867</v>
      </c>
      <c r="Q121" s="17" t="n">
        <f aca="false">(P122-P120)/2</f>
        <v>0.893172135813639</v>
      </c>
    </row>
    <row r="122" customFormat="false" ht="15" hidden="false" customHeight="false" outlineLevel="0" collapsed="false">
      <c r="P122" s="27" t="n">
        <v>23.6687159737109</v>
      </c>
      <c r="Q122" s="17" t="n">
        <f aca="false">(P123-P121)/2</f>
        <v>0.9286394693034</v>
      </c>
    </row>
    <row r="123" customFormat="false" ht="15" hidden="false" customHeight="false" outlineLevel="0" collapsed="false">
      <c r="P123" s="27" t="n">
        <v>24.6154369154738</v>
      </c>
      <c r="Q123" s="17" t="n">
        <f aca="false">(P124-P122)/2</f>
        <v>0.965525651961631</v>
      </c>
    </row>
    <row r="124" customFormat="false" ht="15" hidden="false" customHeight="false" outlineLevel="0" collapsed="false">
      <c r="P124" s="27" t="n">
        <v>25.5997672776342</v>
      </c>
      <c r="Q124" s="17" t="n">
        <f aca="false">(P125-P123)/2</f>
        <v>1.00388704142905</v>
      </c>
    </row>
    <row r="125" customFormat="false" ht="15" hidden="false" customHeight="false" outlineLevel="0" collapsed="false">
      <c r="P125" s="27" t="n">
        <v>26.6232109983319</v>
      </c>
      <c r="Q125" s="17" t="n">
        <f aca="false">(P126-P124)/2</f>
        <v>1.04378224928461</v>
      </c>
    </row>
    <row r="126" customFormat="false" ht="15" hidden="false" customHeight="false" outlineLevel="0" collapsed="false">
      <c r="P126" s="27" t="n">
        <v>27.6873317762034</v>
      </c>
      <c r="Q126" s="17" t="n">
        <f aca="false">(P127-P125)/2</f>
        <v>1.08527223059684</v>
      </c>
    </row>
    <row r="127" customFormat="false" ht="15" hidden="false" customHeight="false" outlineLevel="0" collapsed="false">
      <c r="P127" s="27" t="n">
        <v>28.7937554595256</v>
      </c>
      <c r="Q127" s="17" t="n">
        <f aca="false">(P128-P126)/2</f>
        <v>1.12842037705586</v>
      </c>
    </row>
    <row r="128" customFormat="false" ht="15" hidden="false" customHeight="false" outlineLevel="0" collapsed="false">
      <c r="P128" s="27" t="n">
        <v>29.9441725303151</v>
      </c>
      <c r="Q128" s="17" t="n">
        <f aca="false">(P129-P127)/2</f>
        <v>1.17329261382827</v>
      </c>
    </row>
    <row r="129" customFormat="false" ht="15" hidden="false" customHeight="false" outlineLevel="0" collapsed="false">
      <c r="P129" s="27" t="n">
        <v>31.1403406871821</v>
      </c>
      <c r="Q129" s="17" t="n">
        <f aca="false">(P130-P128)/2</f>
        <v>1.21995750028284</v>
      </c>
    </row>
    <row r="130" customFormat="false" ht="15" hidden="false" customHeight="false" outlineLevel="0" collapsed="false">
      <c r="P130" s="27" t="n">
        <v>32.3840875308808</v>
      </c>
      <c r="Q130" s="17" t="n">
        <f aca="false">(P131-P129)/2</f>
        <v>1.26848633474097</v>
      </c>
    </row>
    <row r="131" customFormat="false" ht="15" hidden="false" customHeight="false" outlineLevel="0" collapsed="false">
      <c r="P131" s="27" t="n">
        <v>33.677313356664</v>
      </c>
      <c r="Q131" s="17" t="n">
        <f aca="false">(P132-P130)/2</f>
        <v>1.31895326341194</v>
      </c>
    </row>
    <row r="132" customFormat="false" ht="15" hidden="false" customHeight="false" outlineLevel="0" collapsed="false">
      <c r="P132" s="27" t="n">
        <v>35.0219940577047</v>
      </c>
      <c r="Q132" s="17" t="n">
        <f aca="false">(P133-P131)/2</f>
        <v>1.37143539367931</v>
      </c>
    </row>
    <row r="133" customFormat="false" ht="15" hidden="false" customHeight="false" outlineLevel="0" collapsed="false">
      <c r="P133" s="27" t="n">
        <v>36.4201841440227</v>
      </c>
      <c r="Q133" s="17" t="n">
        <f aca="false">(P134-P132)/2</f>
        <v>1.4260129119118</v>
      </c>
    </row>
    <row r="134" customFormat="false" ht="15" hidden="false" customHeight="false" outlineLevel="0" collapsed="false">
      <c r="P134" s="27" t="n">
        <v>37.8740198815283</v>
      </c>
      <c r="Q134" s="17" t="n">
        <f aca="false">(P135-P133)/2</f>
        <v>1.48276920597836</v>
      </c>
    </row>
    <row r="135" customFormat="false" ht="15" hidden="false" customHeight="false" outlineLevel="0" collapsed="false">
      <c r="P135" s="27" t="n">
        <v>39.3857225559794</v>
      </c>
      <c r="Q135" s="17" t="n">
        <f aca="false">(P136-P134)/2</f>
        <v>1.54179099265479</v>
      </c>
    </row>
    <row r="136" customFormat="false" ht="15" hidden="false" customHeight="false" outlineLevel="0" collapsed="false">
      <c r="P136" s="27" t="n">
        <v>40.9576018668379</v>
      </c>
      <c r="Q136" s="17" t="n">
        <f aca="false">(P137-P135)/2</f>
        <v>1.60316845011647</v>
      </c>
    </row>
    <row r="137" customFormat="false" ht="15" hidden="false" customHeight="false" outlineLevel="0" collapsed="false">
      <c r="P137" s="27" t="n">
        <v>42.5920594562123</v>
      </c>
      <c r="Q137" s="17" t="n">
        <f aca="false">(P138-P136)/2</f>
        <v>1.66699535571979</v>
      </c>
    </row>
    <row r="138" customFormat="false" ht="15" hidden="false" customHeight="false" outlineLevel="0" collapsed="false">
      <c r="P138" s="27" t="n">
        <v>44.2915925782775</v>
      </c>
      <c r="Q138" s="17" t="n">
        <f aca="false">(P139-P137)/2</f>
        <v>1.73336922928267</v>
      </c>
    </row>
    <row r="139" customFormat="false" ht="15" hidden="false" customHeight="false" outlineLevel="0" collapsed="false">
      <c r="P139" s="27" t="n">
        <v>46.0587979147777</v>
      </c>
      <c r="Q139" s="17" t="n">
        <f aca="false">(P140-P138)/2</f>
        <v>1.80239148208304</v>
      </c>
    </row>
    <row r="140" customFormat="false" ht="15" hidden="false" customHeight="false" outlineLevel="0" collapsed="false">
      <c r="P140" s="27" t="n">
        <v>47.8963755424435</v>
      </c>
      <c r="Q140" s="17" t="n">
        <f aca="false">(P141-P139)/2</f>
        <v>1.87416757180303</v>
      </c>
    </row>
    <row r="141" customFormat="false" ht="15" hidden="false" customHeight="false" outlineLevel="0" collapsed="false">
      <c r="P141" s="27" t="n">
        <v>49.8071330583837</v>
      </c>
      <c r="Q141" s="17" t="n">
        <f aca="false">(P142-P140)/2</f>
        <v>1.94880716365567</v>
      </c>
    </row>
    <row r="142" customFormat="false" ht="15" hidden="false" customHeight="false" outlineLevel="0" collapsed="false">
      <c r="P142" s="27" t="n">
        <v>51.7939898697549</v>
      </c>
      <c r="Q142" s="17" t="n">
        <f aca="false">(P143-P141)/2</f>
        <v>2.02642429794005</v>
      </c>
    </row>
    <row r="143" customFormat="false" ht="15" hidden="false" customHeight="false" outlineLevel="0" collapsed="false">
      <c r="P143" s="27" t="n">
        <v>53.8599816542638</v>
      </c>
      <c r="Q143" s="17" t="n">
        <f aca="false">(P144-P142)/2</f>
        <v>2.10713756428119</v>
      </c>
    </row>
    <row r="144" customFormat="false" ht="15" hidden="false" customHeight="false" outlineLevel="0" collapsed="false">
      <c r="P144" s="27" t="n">
        <v>56.0082649983172</v>
      </c>
      <c r="Q144" s="17" t="n">
        <f aca="false">(P145-P143)/2</f>
        <v>2.19107028282068</v>
      </c>
    </row>
    <row r="145" customFormat="false" ht="15" hidden="false" customHeight="false" outlineLevel="0" collapsed="false">
      <c r="P145" s="27" t="n">
        <v>58.2421222199052</v>
      </c>
      <c r="Q145" s="17" t="n">
        <f aca="false">(P146-P144)/2</f>
        <v>2.27835069263499</v>
      </c>
    </row>
    <row r="146" customFormat="false" ht="15" hidden="false" customHeight="false" outlineLevel="0" collapsed="false">
      <c r="P146" s="27" t="n">
        <v>60.5649663835872</v>
      </c>
      <c r="Q146" s="17" t="n">
        <f aca="false">(P147-P145)/2</f>
        <v>2.36911214766927</v>
      </c>
    </row>
    <row r="147" customFormat="false" ht="15" hidden="false" customHeight="false" outlineLevel="0" collapsed="false">
      <c r="P147" s="27" t="n">
        <v>62.9803465152437</v>
      </c>
      <c r="Q147" s="17" t="n">
        <f aca="false">(P148-P146)/2</f>
        <v>2.4634933204862</v>
      </c>
    </row>
    <row r="148" customFormat="false" ht="15" hidden="false" customHeight="false" outlineLevel="0" collapsed="false">
      <c r="P148" s="27" t="n">
        <v>65.4919530245596</v>
      </c>
      <c r="Q148" s="17" t="n">
        <f aca="false">(P149-P147)/2</f>
        <v>2.56163841414091</v>
      </c>
    </row>
    <row r="149" customFormat="false" ht="15" hidden="false" customHeight="false" outlineLevel="0" collapsed="false">
      <c r="P149" s="27" t="n">
        <v>68.1036233435255</v>
      </c>
      <c r="Q149" s="17" t="n">
        <f aca="false">(P150-P148)/2</f>
        <v>2.66369738250582</v>
      </c>
    </row>
    <row r="150" customFormat="false" ht="15" hidden="false" customHeight="false" outlineLevel="0" collapsed="false">
      <c r="P150" s="27" t="n">
        <v>70.8193477895713</v>
      </c>
      <c r="Q150" s="17" t="n">
        <f aca="false">(P151-P149)/2</f>
        <v>2.76982615938213</v>
      </c>
    </row>
    <row r="151" customFormat="false" ht="15" hidden="false" customHeight="false" outlineLevel="0" collapsed="false">
      <c r="P151" s="27" t="n">
        <v>73.6432756622898</v>
      </c>
      <c r="Q151" s="17" t="n">
        <f aca="false">(P152-P150)/2</f>
        <v>2.88018689674789</v>
      </c>
    </row>
    <row r="152" customFormat="false" ht="15" hidden="false" customHeight="false" outlineLevel="0" collapsed="false">
      <c r="P152" s="27" t="n">
        <v>76.579721583067</v>
      </c>
      <c r="Q152" s="17" t="n">
        <f aca="false">(P153-P151)/2</f>
        <v>2.99494821250661</v>
      </c>
    </row>
    <row r="153" customFormat="false" ht="15" hidden="false" customHeight="false" outlineLevel="0" collapsed="false">
      <c r="P153" s="27" t="n">
        <v>79.633172087303</v>
      </c>
      <c r="Q153" s="17" t="n">
        <f aca="false">(P154-P152)/2</f>
        <v>3.11428544811513</v>
      </c>
    </row>
    <row r="154" customFormat="false" ht="15" hidden="false" customHeight="false" outlineLevel="0" collapsed="false">
      <c r="P154" s="27" t="n">
        <v>82.8082924792973</v>
      </c>
      <c r="Q154" s="17" t="n">
        <f aca="false">(P155-P153)/2</f>
        <v>3.23838093648426</v>
      </c>
    </row>
    <row r="155" customFormat="false" ht="15" hidden="false" customHeight="false" outlineLevel="0" collapsed="false">
      <c r="P155" s="27" t="n">
        <v>86.1099339602715</v>
      </c>
      <c r="Q155" s="17" t="n">
        <f aca="false">(P156-P154)/2</f>
        <v>3.36742428056141</v>
      </c>
    </row>
    <row r="156" customFormat="false" ht="15" hidden="false" customHeight="false" outlineLevel="0" collapsed="false">
      <c r="P156" s="27" t="n">
        <v>89.5431410404201</v>
      </c>
      <c r="Q156" s="17" t="n">
        <f aca="false">(P157-P155)/2</f>
        <v>3.50161264302111</v>
      </c>
    </row>
    <row r="157" customFormat="false" ht="15" hidden="false" customHeight="false" outlineLevel="0" collapsed="false">
      <c r="P157" s="27" t="n">
        <v>93.1131592463137</v>
      </c>
      <c r="Q157" s="17" t="n">
        <f aca="false">(P158-P156)/2</f>
        <v>3.6411510475058</v>
      </c>
    </row>
    <row r="158" customFormat="false" ht="15" hidden="false" customHeight="false" outlineLevel="0" collapsed="false">
      <c r="P158" s="27" t="n">
        <v>96.8254431354317</v>
      </c>
      <c r="Q158" s="17" t="n">
        <f aca="false">(P159-P157)/2</f>
        <v>3.78625269187718</v>
      </c>
    </row>
    <row r="159" customFormat="false" ht="15" hidden="false" customHeight="false" outlineLevel="0" collapsed="false">
      <c r="P159" s="27" t="n">
        <v>100.685664630068</v>
      </c>
      <c r="Q159" s="17" t="n">
        <f aca="false">(P160-P158)/2</f>
        <v>3.93713927395694</v>
      </c>
    </row>
    <row r="160" customFormat="false" ht="15" hidden="false" customHeight="false" outlineLevel="0" collapsed="false">
      <c r="P160" s="27" t="n">
        <v>104.699721683346</v>
      </c>
      <c r="Q160" s="17" t="n">
        <f aca="false">(P161-P159)/2</f>
        <v>4.0940413302543</v>
      </c>
    </row>
    <row r="161" customFormat="false" ht="15" hidden="false" customHeight="false" outlineLevel="0" collapsed="false">
      <c r="P161" s="27" t="n">
        <v>108.873747290577</v>
      </c>
      <c r="Q161" s="17" t="n">
        <f aca="false">(P162-P160)/2</f>
        <v>4.25719858819775</v>
      </c>
    </row>
    <row r="162" customFormat="false" ht="15" hidden="false" customHeight="false" outlineLevel="0" collapsed="false">
      <c r="P162" s="27" t="n">
        <v>113.214118859741</v>
      </c>
      <c r="Q162" s="17" t="n">
        <f aca="false">(P163-P161)/2</f>
        <v>4.42686033241005</v>
      </c>
    </row>
    <row r="163" customFormat="false" ht="15" hidden="false" customHeight="false" outlineLevel="0" collapsed="false">
      <c r="P163" s="27" t="n">
        <v>117.727467955397</v>
      </c>
      <c r="Q163" s="17" t="n">
        <f aca="false">(P164-P162)/2</f>
        <v>4.60328578558504</v>
      </c>
    </row>
    <row r="164" customFormat="false" ht="15" hidden="false" customHeight="false" outlineLevel="0" collapsed="false">
      <c r="P164" s="27" t="n">
        <v>122.420690430911</v>
      </c>
      <c r="Q164" s="17" t="n">
        <f aca="false">(P165-P163)/2</f>
        <v>4.78674450454825</v>
      </c>
    </row>
    <row r="165" customFormat="false" ht="15" hidden="false" customHeight="false" outlineLevel="0" collapsed="false">
      <c r="P165" s="27" t="n">
        <v>127.300956964493</v>
      </c>
      <c r="Q165" s="17" t="n">
        <f aca="false">(P166-P164)/2</f>
        <v>4.97751679210766</v>
      </c>
    </row>
    <row r="166" customFormat="false" ht="15" hidden="false" customHeight="false" outlineLevel="0" collapsed="false">
      <c r="P166" s="27" t="n">
        <v>132.375724015127</v>
      </c>
      <c r="Q166" s="17" t="n">
        <f aca="false">(P167-P165)/2</f>
        <v>5.17589412532251</v>
      </c>
    </row>
    <row r="167" customFormat="false" ht="15" hidden="false" customHeight="false" outlineLevel="0" collapsed="false">
      <c r="P167" s="27" t="n">
        <v>137.652745215138</v>
      </c>
      <c r="Q167" s="17" t="n">
        <f aca="false">(P168-P166)/2</f>
        <v>5.38217960084499</v>
      </c>
    </row>
    <row r="168" customFormat="false" ht="15" hidden="false" customHeight="false" outlineLevel="0" collapsed="false">
      <c r="P168" s="27" t="n">
        <v>143.140083216817</v>
      </c>
      <c r="Q168" s="17" t="n">
        <f aca="false">(P169-P167)/2</f>
        <v>5.59668839801564</v>
      </c>
    </row>
    <row r="169" customFormat="false" ht="15" hidden="false" customHeight="false" outlineLevel="0" collapsed="false">
      <c r="P169" s="27" t="n">
        <v>148.84612201117</v>
      </c>
      <c r="Q169" s="17" t="n">
        <f aca="false">(P170-P168)/2</f>
        <v>5.81974826041895</v>
      </c>
    </row>
    <row r="170" customFormat="false" ht="15" hidden="false" customHeight="false" outlineLevel="0" collapsed="false">
      <c r="P170" s="27" t="n">
        <v>154.779579737654</v>
      </c>
      <c r="Q170" s="17" t="n">
        <f aca="false">(P171-P169)/2</f>
        <v>6.05169999663646</v>
      </c>
    </row>
    <row r="171" customFormat="false" ht="15" hidden="false" customHeight="false" outlineLevel="0" collapsed="false">
      <c r="P171" s="27" t="n">
        <v>160.949522004443</v>
      </c>
      <c r="Q171" s="17" t="n">
        <f aca="false">(P172-P170)/2</f>
        <v>6.29289800096106</v>
      </c>
    </row>
    <row r="172" customFormat="false" ht="15" hidden="false" customHeight="false" outlineLevel="0" collapsed="false">
      <c r="P172" s="27" t="n">
        <v>167.365375739577</v>
      </c>
      <c r="Q172" s="17" t="n">
        <f aca="false">(P173-P171)/2</f>
        <v>6.54371079486869</v>
      </c>
    </row>
    <row r="173" customFormat="false" ht="15" hidden="false" customHeight="false" outlineLevel="0" collapsed="false">
      <c r="P173" s="27" t="n">
        <v>174.03694359418</v>
      </c>
      <c r="Q173" s="17" t="n">
        <f aca="false">(P174-P172)/2</f>
        <v>6.8045215900749</v>
      </c>
    </row>
    <row r="174" customFormat="false" ht="15" hidden="false" customHeight="false" outlineLevel="0" collapsed="false">
      <c r="P174" s="27" t="n">
        <v>180.974418919726</v>
      </c>
      <c r="Q174" s="17" t="n">
        <f aca="false">(P175-P173)/2</f>
        <v>7.07572887403586</v>
      </c>
    </row>
    <row r="175" customFormat="false" ht="15" hidden="false" customHeight="false" outlineLevel="0" collapsed="false">
      <c r="P175" s="27" t="n">
        <v>188.188401342252</v>
      </c>
      <c r="Q175" s="17" t="n">
        <f aca="false">(P176-P174)/2</f>
        <v>7.35774701878945</v>
      </c>
    </row>
    <row r="176" customFormat="false" ht="15" hidden="false" customHeight="false" outlineLevel="0" collapsed="false">
      <c r="P176" s="27" t="n">
        <v>195.689912957305</v>
      </c>
      <c r="Q176" s="17" t="n">
        <f aca="false">(P177-P175)/2</f>
        <v>7.65100691406575</v>
      </c>
    </row>
    <row r="177" customFormat="false" ht="15" hidden="false" customHeight="false" outlineLevel="0" collapsed="false">
      <c r="P177" s="27" t="n">
        <v>203.490415170383</v>
      </c>
      <c r="Q177" s="17" t="n">
        <f aca="false">(P178-P176)/2</f>
        <v>7.95595662563424</v>
      </c>
    </row>
    <row r="178" customFormat="false" ht="15" hidden="false" customHeight="false" outlineLevel="0" collapsed="false">
      <c r="P178" s="27" t="n">
        <v>211.601826208574</v>
      </c>
      <c r="Q178" s="17" t="n">
        <f aca="false">(P179-P177)/2</f>
        <v>8.27306207989484</v>
      </c>
    </row>
    <row r="179" customFormat="false" ht="15" hidden="false" customHeight="false" outlineLevel="0" collapsed="false">
      <c r="P179" s="27" t="n">
        <v>220.036539330173</v>
      </c>
      <c r="Q179" s="17" t="n">
        <f aca="false">(P180-P178)/2</f>
        <v>8.60280777575706</v>
      </c>
    </row>
    <row r="180" customFormat="false" ht="15" hidden="false" customHeight="false" outlineLevel="0" collapsed="false">
      <c r="P180" s="27" t="n">
        <v>228.807441760088</v>
      </c>
      <c r="Q180" s="17" t="n">
        <f aca="false">(P181-P179)/2</f>
        <v>8.94569752489555</v>
      </c>
    </row>
    <row r="181" customFormat="false" ht="15" hidden="false" customHeight="false" outlineLevel="0" collapsed="false">
      <c r="P181" s="27" t="n">
        <v>237.927934379964</v>
      </c>
      <c r="Q181" s="17" t="n">
        <f aca="false">(P182-P180)/2</f>
        <v>9.3022552215143</v>
      </c>
    </row>
    <row r="182" customFormat="false" ht="15" hidden="false" customHeight="false" outlineLevel="0" collapsed="false">
      <c r="P182" s="27" t="n">
        <v>247.411952203116</v>
      </c>
      <c r="Q182" s="17" t="n">
        <f aca="false">(P183-P181)/2</f>
        <v>9.67302564279335</v>
      </c>
    </row>
    <row r="183" customFormat="false" ht="15" hidden="false" customHeight="false" outlineLevel="0" collapsed="false">
      <c r="P183" s="27" t="n">
        <v>257.273985665551</v>
      </c>
      <c r="Q183" s="17" t="n">
        <f aca="false">(P184-P182)/2</f>
        <v>10.0585752812428</v>
      </c>
    </row>
    <row r="184" customFormat="false" ht="15" hidden="false" customHeight="false" outlineLevel="0" collapsed="false">
      <c r="P184" s="27" t="n">
        <v>267.529102765602</v>
      </c>
      <c r="Q184" s="17" t="n">
        <f aca="false">(P185-P183)/2</f>
        <v>10.4594932102349</v>
      </c>
    </row>
    <row r="185" customFormat="false" ht="15" hidden="false" customHeight="false" outlineLevel="0" collapsed="false">
      <c r="P185" s="27" t="n">
        <v>278.19297208602</v>
      </c>
      <c r="Q185" s="17" t="n">
        <f aca="false">(P186-P184)/2</f>
        <v>10.8763919840375</v>
      </c>
    </row>
    <row r="186" customFormat="false" ht="15" hidden="false" customHeight="false" outlineLevel="0" collapsed="false">
      <c r="P186" s="27" t="n">
        <v>289.281886733677</v>
      </c>
      <c r="Q186" s="17" t="n">
        <f aca="false">(P187-P185)/2</f>
        <v>11.309908573723</v>
      </c>
    </row>
    <row r="187" customFormat="false" ht="15" hidden="false" customHeight="false" outlineLevel="0" collapsed="false">
      <c r="P187" s="27" t="n">
        <v>300.812789233466</v>
      </c>
      <c r="Q187" s="17" t="n">
        <f aca="false">(P188-P186)/2</f>
        <v>11.7607053403831</v>
      </c>
    </row>
    <row r="188" customFormat="false" ht="15" hidden="false" customHeight="false" outlineLevel="0" collapsed="false">
      <c r="P188" s="27" t="n">
        <v>312.803297414443</v>
      </c>
      <c r="Q188" s="17" t="n">
        <f aca="false">(P189-P187)/2</f>
        <v>12.2294710471372</v>
      </c>
    </row>
    <row r="189" customFormat="false" ht="15" hidden="false" customHeight="false" outlineLevel="0" collapsed="false">
      <c r="P189" s="27" t="n">
        <v>325.271731327741</v>
      </c>
      <c r="Q189" s="17" t="n">
        <f aca="false">(P190-P188)/2</f>
        <v>12.7169219114788</v>
      </c>
    </row>
    <row r="190" customFormat="false" ht="15" hidden="false" customHeight="false" outlineLevel="0" collapsed="false">
      <c r="P190" s="27" t="n">
        <v>338.237141237401</v>
      </c>
      <c r="Q190" s="17" t="n">
        <f aca="false">(P191-P189)/2</f>
        <v>13.22380269957</v>
      </c>
    </row>
    <row r="191" customFormat="false" ht="15" hidden="false" customHeight="false" outlineLevel="0" collapsed="false">
      <c r="P191" s="27" t="n">
        <v>351.719336726881</v>
      </c>
      <c r="Q191" s="17" t="n">
        <f aca="false">(P192-P190)/2</f>
        <v>13.7508878641545</v>
      </c>
    </row>
    <row r="192" customFormat="false" ht="15" hidden="false" customHeight="false" outlineLevel="0" collapsed="false">
      <c r="P192" s="27" t="n">
        <v>365.73891696571</v>
      </c>
      <c r="Q192" s="17" t="n">
        <f aca="false">(P193-P191)/2</f>
        <v>14.2989827278272</v>
      </c>
    </row>
    <row r="193" customFormat="false" ht="15" hidden="false" customHeight="false" outlineLevel="0" collapsed="false">
      <c r="P193" s="27" t="n">
        <v>380.317302182535</v>
      </c>
      <c r="Q193" s="17" t="n">
        <f aca="false">(P194-P192)/2</f>
        <v>14.8689247134713</v>
      </c>
    </row>
    <row r="194" customFormat="false" ht="15" hidden="false" customHeight="false" outlineLevel="0" collapsed="false">
      <c r="P194" s="27" t="n">
        <v>395.476766392652</v>
      </c>
      <c r="Q194" s="17" t="n">
        <f aca="false">(P195-P193)/2</f>
        <v>15.4615846237385</v>
      </c>
    </row>
    <row r="195" customFormat="false" ht="15" hidden="false" customHeight="false" outlineLevel="0" collapsed="false">
      <c r="P195" s="27" t="n">
        <v>411.240471430012</v>
      </c>
      <c r="Q195" s="17" t="n">
        <f aca="false">(P196-P194)/2</f>
        <v>16.0778679715308</v>
      </c>
    </row>
    <row r="196" customFormat="false" ht="15" hidden="false" customHeight="false" outlineLevel="0" collapsed="false">
      <c r="P196" s="27" t="n">
        <v>427.632502335714</v>
      </c>
      <c r="Q196" s="17" t="n">
        <f aca="false">(P197-P195)/2</f>
        <v>16.7187163635153</v>
      </c>
    </row>
    <row r="197" customFormat="false" ht="15" hidden="false" customHeight="false" outlineLevel="0" collapsed="false">
      <c r="P197" s="27" t="n">
        <v>444.677904157043</v>
      </c>
      <c r="Q197" s="17" t="n">
        <f aca="false">(P198-P196)/2</f>
        <v>17.3851089387854</v>
      </c>
    </row>
    <row r="198" customFormat="false" ht="15" hidden="false" customHeight="false" outlineLevel="0" collapsed="false">
      <c r="P198" s="27" t="n">
        <v>462.402720213285</v>
      </c>
      <c r="Q198" s="17" t="n">
        <f aca="false">(P199-P197)/2</f>
        <v>18.0780638648675</v>
      </c>
    </row>
    <row r="199" customFormat="false" ht="15" hidden="false" customHeight="false" outlineLevel="0" collapsed="false">
      <c r="P199" s="27" t="n">
        <v>480.834031886778</v>
      </c>
      <c r="Q199" s="17" t="n">
        <f aca="false">(P200-P198)/2</f>
        <v>18.7986398933576</v>
      </c>
    </row>
    <row r="200" customFormat="false" ht="15" hidden="false" customHeight="false" outlineLevel="0" collapsed="false">
      <c r="P200" s="27" t="n">
        <v>500</v>
      </c>
      <c r="Q200" s="17" t="n">
        <f aca="false">(P200-P199)/2</f>
        <v>9.58298405661108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8" t="s">
        <v>267</v>
      </c>
    </row>
    <row r="3" customFormat="false" ht="15" hidden="false" customHeight="false" outlineLevel="0" collapsed="false">
      <c r="A3" s="15" t="s">
        <v>268</v>
      </c>
      <c r="B3" s="15" t="s">
        <v>269</v>
      </c>
      <c r="C3" s="15" t="s">
        <v>270</v>
      </c>
      <c r="D3" s="15" t="s">
        <v>271</v>
      </c>
    </row>
    <row r="4" customFormat="false" ht="15" hidden="false" customHeight="false" outlineLevel="0" collapsed="false">
      <c r="A4" s="2" t="s">
        <v>272</v>
      </c>
      <c r="B4" s="32" t="n">
        <v>6.62607015E-034</v>
      </c>
      <c r="C4" s="2" t="s">
        <v>273</v>
      </c>
      <c r="D4" s="2" t="s">
        <v>274</v>
      </c>
    </row>
    <row r="5" customFormat="false" ht="15" hidden="false" customHeight="false" outlineLevel="0" collapsed="false">
      <c r="A5" s="2" t="s">
        <v>275</v>
      </c>
      <c r="B5" s="32" t="n">
        <v>299792458</v>
      </c>
      <c r="C5" s="2" t="s">
        <v>276</v>
      </c>
      <c r="D5" s="2" t="s">
        <v>277</v>
      </c>
    </row>
    <row r="6" customFormat="false" ht="15" hidden="false" customHeight="false" outlineLevel="0" collapsed="false">
      <c r="A6" s="2" t="s">
        <v>278</v>
      </c>
      <c r="B6" s="32" t="n">
        <v>1.380649E-023</v>
      </c>
      <c r="C6" s="2" t="s">
        <v>279</v>
      </c>
      <c r="D6" s="2" t="s">
        <v>280</v>
      </c>
    </row>
    <row r="7" customFormat="false" ht="15" hidden="false" customHeight="false" outlineLevel="0" collapsed="false">
      <c r="A7" s="2" t="s">
        <v>281</v>
      </c>
      <c r="B7" s="32" t="n">
        <v>5.670374E-008</v>
      </c>
      <c r="C7" s="2" t="s">
        <v>282</v>
      </c>
      <c r="D7" s="2" t="s">
        <v>283</v>
      </c>
    </row>
    <row r="8" customFormat="false" ht="15" hidden="false" customHeight="false" outlineLevel="0" collapsed="false">
      <c r="A8" s="2" t="s">
        <v>284</v>
      </c>
      <c r="B8" s="32" t="n">
        <v>9.1093837E-031</v>
      </c>
      <c r="C8" s="2" t="s">
        <v>285</v>
      </c>
      <c r="D8" s="2" t="s">
        <v>286</v>
      </c>
    </row>
    <row r="9" customFormat="false" ht="15" hidden="false" customHeight="false" outlineLevel="0" collapsed="false">
      <c r="A9" s="2" t="s">
        <v>287</v>
      </c>
      <c r="B9" s="32" t="n">
        <v>1.602176634E-019</v>
      </c>
      <c r="C9" s="2" t="s">
        <v>288</v>
      </c>
      <c r="D9" s="2" t="s">
        <v>164</v>
      </c>
    </row>
    <row r="10" customFormat="false" ht="15" hidden="false" customHeight="false" outlineLevel="0" collapsed="false">
      <c r="A10" s="2" t="s">
        <v>289</v>
      </c>
      <c r="B10" s="32" t="n">
        <v>1.6735E-027</v>
      </c>
      <c r="C10" s="2" t="s">
        <v>285</v>
      </c>
      <c r="D10" s="2" t="s">
        <v>290</v>
      </c>
    </row>
    <row r="11" customFormat="false" ht="15" hidden="false" customHeight="false" outlineLevel="0" collapsed="false">
      <c r="A11" s="2" t="s">
        <v>291</v>
      </c>
      <c r="B11" s="32" t="n">
        <v>1.66053907E-027</v>
      </c>
      <c r="C11" s="2" t="s">
        <v>285</v>
      </c>
      <c r="D11" s="2" t="s">
        <v>292</v>
      </c>
    </row>
    <row r="12" customFormat="false" ht="15" hidden="false" customHeight="false" outlineLevel="0" collapsed="false">
      <c r="A12" s="2" t="s">
        <v>293</v>
      </c>
      <c r="B12" s="32" t="n">
        <v>2.8179403E-015</v>
      </c>
      <c r="C12" s="2" t="s">
        <v>114</v>
      </c>
      <c r="D12" s="2" t="s">
        <v>294</v>
      </c>
    </row>
    <row r="13" customFormat="false" ht="15" hidden="false" customHeight="false" outlineLevel="0" collapsed="false">
      <c r="A13" s="2" t="s">
        <v>295</v>
      </c>
      <c r="B13" s="32" t="n">
        <v>6.6524587E-029</v>
      </c>
      <c r="C13" s="2" t="s">
        <v>296</v>
      </c>
      <c r="D13" s="2" t="s">
        <v>297</v>
      </c>
    </row>
    <row r="14" customFormat="false" ht="15" hidden="false" customHeight="false" outlineLevel="0" collapsed="false">
      <c r="A14" s="2" t="s">
        <v>298</v>
      </c>
      <c r="B14" s="32" t="n">
        <v>695700000</v>
      </c>
      <c r="C14" s="2" t="s">
        <v>114</v>
      </c>
      <c r="D14" s="2" t="s">
        <v>299</v>
      </c>
    </row>
    <row r="15" customFormat="false" ht="15" hidden="false" customHeight="false" outlineLevel="0" collapsed="false">
      <c r="A15" s="2" t="s">
        <v>300</v>
      </c>
      <c r="B15" s="32" t="n">
        <v>3.828E+026</v>
      </c>
      <c r="C15" s="2" t="s">
        <v>301</v>
      </c>
      <c r="D15" s="2" t="s">
        <v>302</v>
      </c>
    </row>
    <row r="16" customFormat="false" ht="15" hidden="false" customHeight="false" outlineLevel="0" collapsed="false">
      <c r="A16" s="2" t="s">
        <v>303</v>
      </c>
      <c r="B16" s="32" t="n">
        <v>149597870700</v>
      </c>
      <c r="C16" s="2" t="s">
        <v>114</v>
      </c>
      <c r="D16" s="2" t="s">
        <v>64</v>
      </c>
    </row>
    <row r="17" customFormat="false" ht="15" hidden="false" customHeight="false" outlineLevel="0" collapsed="false">
      <c r="A17" s="2" t="s">
        <v>304</v>
      </c>
      <c r="B17" s="32" t="n">
        <v>30857000000000000</v>
      </c>
      <c r="C17" s="2" t="s">
        <v>114</v>
      </c>
      <c r="D17" s="2" t="s">
        <v>305</v>
      </c>
    </row>
    <row r="18" customFormat="false" ht="15" hidden="false" customHeight="false" outlineLevel="0" collapsed="false">
      <c r="A18" s="2" t="s">
        <v>306</v>
      </c>
      <c r="B18" s="32" t="n">
        <v>31557600</v>
      </c>
      <c r="C18" s="2" t="s">
        <v>120</v>
      </c>
      <c r="D18" s="2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3" t="s">
        <v>308</v>
      </c>
    </row>
    <row r="3" customFormat="false" ht="15" hidden="false" customHeight="false" outlineLevel="0" collapsed="false">
      <c r="A3" s="15" t="s">
        <v>150</v>
      </c>
      <c r="B3" s="15" t="s">
        <v>309</v>
      </c>
      <c r="C3" s="15" t="s">
        <v>230</v>
      </c>
      <c r="E3" s="15" t="s">
        <v>186</v>
      </c>
      <c r="F3" s="15" t="s">
        <v>310</v>
      </c>
      <c r="G3" s="15" t="s">
        <v>311</v>
      </c>
      <c r="I3" s="15" t="s">
        <v>312</v>
      </c>
      <c r="J3" s="15" t="s">
        <v>313</v>
      </c>
      <c r="K3" s="15" t="s">
        <v>314</v>
      </c>
    </row>
    <row r="4" customFormat="false" ht="15" hidden="false" customHeight="false" outlineLevel="0" collapsed="false">
      <c r="A4" s="31" t="n">
        <v>0</v>
      </c>
      <c r="B4" s="33" t="n">
        <v>0.577319523037564</v>
      </c>
      <c r="C4" s="32" t="n">
        <v>1</v>
      </c>
      <c r="E4" s="16" t="n">
        <v>0</v>
      </c>
      <c r="F4" s="17" t="n">
        <v>1</v>
      </c>
      <c r="G4" s="17" t="n">
        <v>0.343901361522562</v>
      </c>
      <c r="I4" s="27" t="n">
        <v>1</v>
      </c>
      <c r="J4" s="17" t="n">
        <v>1</v>
      </c>
      <c r="K4" s="17" t="n">
        <v>1</v>
      </c>
    </row>
    <row r="5" customFormat="false" ht="15" hidden="false" customHeight="false" outlineLevel="0" collapsed="false">
      <c r="A5" s="31" t="n">
        <v>0.001</v>
      </c>
      <c r="B5" s="33" t="n">
        <v>0.579055250680859</v>
      </c>
      <c r="C5" s="32" t="n">
        <v>0.992668960469239</v>
      </c>
      <c r="E5" s="16" t="n">
        <v>0.05</v>
      </c>
      <c r="F5" s="17" t="n">
        <v>1.13657484684393</v>
      </c>
      <c r="G5" s="17" t="n">
        <v>0.390869637301926</v>
      </c>
      <c r="I5" s="27" t="n">
        <v>0.3</v>
      </c>
      <c r="J5" s="17" t="n">
        <v>0.547702809428829</v>
      </c>
      <c r="K5" s="17" t="n">
        <v>0.547722557505166</v>
      </c>
    </row>
    <row r="6" customFormat="false" ht="15" hidden="false" customHeight="false" outlineLevel="0" collapsed="false">
      <c r="A6" s="31" t="n">
        <v>0.00116114328588683</v>
      </c>
      <c r="B6" s="33" t="n">
        <v>0.579285383685983</v>
      </c>
      <c r="C6" s="32" t="n">
        <v>0.991660999890295</v>
      </c>
      <c r="E6" s="16" t="n">
        <v>0.1</v>
      </c>
      <c r="F6" s="17" t="n">
        <v>1.24735044249727</v>
      </c>
      <c r="G6" s="17" t="n">
        <v>0.428965515470581</v>
      </c>
      <c r="I6" s="27" t="n">
        <v>0.1</v>
      </c>
      <c r="J6" s="17" t="n">
        <v>0.316139151263278</v>
      </c>
      <c r="K6" s="17" t="n">
        <v>0.316227766016838</v>
      </c>
    </row>
    <row r="7" customFormat="false" ht="15" hidden="false" customHeight="false" outlineLevel="0" collapsed="false">
      <c r="A7" s="31" t="n">
        <v>0.00134825373036006</v>
      </c>
      <c r="B7" s="33" t="n">
        <v>0.579544691018356</v>
      </c>
      <c r="C7" s="32" t="n">
        <v>0.990518535926439</v>
      </c>
      <c r="E7" s="16" t="n">
        <v>0.15</v>
      </c>
      <c r="F7" s="17" t="n">
        <v>1.35083359282199</v>
      </c>
      <c r="G7" s="17" t="n">
        <v>0.464553511761895</v>
      </c>
      <c r="I7" s="27" t="n">
        <v>0.03</v>
      </c>
      <c r="J7" s="17" t="n">
        <v>0.172943478100771</v>
      </c>
      <c r="K7" s="17" t="n">
        <v>0.173205080756888</v>
      </c>
    </row>
    <row r="8" customFormat="false" ht="15" hidden="false" customHeight="false" outlineLevel="0" collapsed="false">
      <c r="A8" s="31" t="n">
        <v>0.00156551576667946</v>
      </c>
      <c r="B8" s="33" t="n">
        <v>0.579836621494636</v>
      </c>
      <c r="C8" s="32" t="n">
        <v>0.989224387726524</v>
      </c>
      <c r="E8" s="16" t="n">
        <v>0.2</v>
      </c>
      <c r="F8" s="17" t="n">
        <v>1.45035141281174</v>
      </c>
      <c r="G8" s="17" t="n">
        <v>0.498777825552129</v>
      </c>
      <c r="I8" s="27" t="n">
        <v>0.01</v>
      </c>
      <c r="J8" s="17" t="n">
        <v>0.0994367714391393</v>
      </c>
      <c r="K8" s="17" t="n">
        <v>0.1</v>
      </c>
    </row>
    <row r="9" customFormat="false" ht="15" hidden="false" customHeight="false" outlineLevel="0" collapsed="false">
      <c r="A9" s="31" t="n">
        <v>0.00181778812142982</v>
      </c>
      <c r="B9" s="33" t="n">
        <v>0.580164984214312</v>
      </c>
      <c r="C9" s="32" t="n">
        <v>0.987759327833826</v>
      </c>
      <c r="E9" s="16" t="n">
        <v>0.25</v>
      </c>
      <c r="F9" s="17" t="n">
        <v>1.54732623398111</v>
      </c>
      <c r="G9" s="17" t="n">
        <v>0.53212759858568</v>
      </c>
      <c r="I9" s="27" t="n">
        <v>0.003</v>
      </c>
      <c r="J9" s="17" t="n">
        <v>0.0536619392158208</v>
      </c>
      <c r="K9" s="17" t="n">
        <v>0.0547722557505166</v>
      </c>
    </row>
    <row r="10" customFormat="false" ht="15" hidden="false" customHeight="false" outlineLevel="0" collapsed="false">
      <c r="A10" s="31" t="n">
        <v>0.00211071247236307</v>
      </c>
      <c r="B10" s="33" t="n">
        <v>0.580533976909004</v>
      </c>
      <c r="C10" s="32" t="n">
        <v>0.986101867993547</v>
      </c>
      <c r="E10" s="16" t="n">
        <v>0.3</v>
      </c>
      <c r="F10" s="17" t="n">
        <v>1.64252226447033</v>
      </c>
      <c r="G10" s="17" t="n">
        <v>0.564865643082468</v>
      </c>
      <c r="I10" s="27" t="n">
        <v>0.001</v>
      </c>
      <c r="J10" s="17" t="n">
        <v>0.0298475745017908</v>
      </c>
      <c r="K10" s="17" t="n">
        <v>0.0316227766016838</v>
      </c>
    </row>
    <row r="11" customFormat="false" ht="15" hidden="false" customHeight="false" outlineLevel="0" collapsed="false">
      <c r="A11" s="31" t="n">
        <v>0.00245083961572197</v>
      </c>
      <c r="B11" s="33" t="n">
        <v>0.580948214567638</v>
      </c>
      <c r="C11" s="32" t="n">
        <v>0.984228028817382</v>
      </c>
      <c r="E11" s="16" t="n">
        <v>0.35</v>
      </c>
      <c r="F11" s="17" t="n">
        <v>1.73640372542076</v>
      </c>
      <c r="G11" s="17" t="n">
        <v>0.597151605325049</v>
      </c>
    </row>
    <row r="12" customFormat="false" ht="15" hidden="false" customHeight="false" outlineLevel="0" collapsed="false">
      <c r="A12" s="31" t="n">
        <v>0.00284577596458102</v>
      </c>
      <c r="B12" s="33" t="n">
        <v>0.581412757823075</v>
      </c>
      <c r="C12" s="32" t="n">
        <v>0.982111093575599</v>
      </c>
      <c r="E12" s="16" t="n">
        <v>0.4</v>
      </c>
      <c r="F12" s="17" t="n">
        <v>1.82927560320441</v>
      </c>
      <c r="G12" s="17" t="n">
        <v>0.629090370542001</v>
      </c>
    </row>
    <row r="13" customFormat="false" ht="15" hidden="false" customHeight="false" outlineLevel="0" collapsed="false">
      <c r="A13" s="31" t="n">
        <v>0.00330435365441136</v>
      </c>
      <c r="B13" s="33" t="n">
        <v>0.581933140447196</v>
      </c>
      <c r="C13" s="32" t="n">
        <v>0.979721346862627</v>
      </c>
      <c r="E13" s="16" t="n">
        <v>0.45</v>
      </c>
      <c r="F13" s="17" t="n">
        <v>1.92134959172067</v>
      </c>
      <c r="G13" s="17" t="n">
        <v>0.660754740553557</v>
      </c>
    </row>
    <row r="14" customFormat="false" ht="15" hidden="false" customHeight="false" outlineLevel="0" collapsed="false">
      <c r="A14" s="31" t="n">
        <v>0.00383682806001536</v>
      </c>
      <c r="B14" s="33" t="n">
        <v>0.582515395139863</v>
      </c>
      <c r="C14" s="32" t="n">
        <v>0.977025799493334</v>
      </c>
      <c r="E14" s="16" t="n">
        <v>0.5</v>
      </c>
      <c r="F14" s="17" t="n">
        <v>2.0127787699981</v>
      </c>
      <c r="G14" s="17" t="n">
        <v>0.692197359446052</v>
      </c>
    </row>
    <row r="15" customFormat="false" ht="15" hidden="false" customHeight="false" outlineLevel="0" collapsed="false">
      <c r="A15" s="31" t="n">
        <v>0.00445510714098902</v>
      </c>
      <c r="B15" s="33" t="n">
        <v>0.583166076610894</v>
      </c>
      <c r="C15" s="32" t="n">
        <v>0.973987901761685</v>
      </c>
      <c r="E15" s="16" t="n">
        <v>0.55</v>
      </c>
      <c r="F15" s="17" t="n">
        <v>2.10367740994554</v>
      </c>
      <c r="G15" s="17" t="n">
        <v>0.723457525484527</v>
      </c>
    </row>
    <row r="16" customFormat="false" ht="15" hidden="false" customHeight="false" outlineLevel="0" collapsed="false">
      <c r="A16" s="31" t="n">
        <v>0.00517301774466587</v>
      </c>
      <c r="B16" s="33" t="n">
        <v>0.583892151149632</v>
      </c>
      <c r="C16" s="32" t="n">
        <v>0.970567248163202</v>
      </c>
      <c r="E16" s="16" t="n">
        <v>0.6</v>
      </c>
      <c r="F16" s="17" t="n">
        <v>2.1941330193229</v>
      </c>
      <c r="G16" s="17" t="n">
        <v>0.754565332706754</v>
      </c>
    </row>
    <row r="17" customFormat="false" ht="15" hidden="false" customHeight="false" outlineLevel="0" collapsed="false">
      <c r="A17" s="31" t="n">
        <v>0.00600661482199219</v>
      </c>
      <c r="B17" s="33" t="n">
        <v>0.584701246853153</v>
      </c>
      <c r="C17" s="32" t="n">
        <v>0.966719277883874</v>
      </c>
      <c r="E17" s="16" t="n">
        <v>0.65</v>
      </c>
      <c r="F17" s="17" t="n">
        <v>2.28421403132894</v>
      </c>
      <c r="G17" s="17" t="n">
        <v>0.785544315382961</v>
      </c>
    </row>
    <row r="18" customFormat="false" ht="15" hidden="false" customHeight="false" outlineLevel="0" collapsed="false">
      <c r="A18" s="31" t="n">
        <v>0.00697454047146454</v>
      </c>
      <c r="B18" s="33" t="n">
        <v>0.585601646526454</v>
      </c>
      <c r="C18" s="32" t="n">
        <v>0.962394976831515</v>
      </c>
      <c r="E18" s="16" t="n">
        <v>0.7</v>
      </c>
      <c r="F18" s="17" t="n">
        <v>2.37397491253773</v>
      </c>
      <c r="G18" s="17" t="n">
        <v>0.816413204642129</v>
      </c>
    </row>
    <row r="19" customFormat="false" ht="15" hidden="false" customHeight="false" outlineLevel="0" collapsed="false">
      <c r="A19" s="31" t="n">
        <v>0.00809844084058701</v>
      </c>
      <c r="B19" s="33" t="n">
        <v>0.586602104365434</v>
      </c>
      <c r="C19" s="32" t="n">
        <v>0.957540588775986</v>
      </c>
      <c r="E19" s="16" t="n">
        <v>0.75</v>
      </c>
      <c r="F19" s="17" t="n">
        <v>2.46345966853574</v>
      </c>
      <c r="G19" s="17" t="n">
        <v>0.847187134065361</v>
      </c>
    </row>
    <row r="20" customFormat="false" ht="15" hidden="false" customHeight="false" outlineLevel="0" collapsed="false">
      <c r="A20" s="31" t="n">
        <v>0.00940345020819929</v>
      </c>
      <c r="B20" s="33" t="n">
        <v>0.58771191687879</v>
      </c>
      <c r="C20" s="32" t="n">
        <v>0.95209734532043</v>
      </c>
      <c r="E20" s="16" t="n">
        <v>0.8</v>
      </c>
      <c r="F20" s="17" t="n">
        <v>2.55270431683873</v>
      </c>
      <c r="G20" s="17" t="n">
        <v>0.877878490125359</v>
      </c>
    </row>
    <row r="21" customFormat="false" ht="15" hidden="false" customHeight="false" outlineLevel="0" collapsed="false">
      <c r="A21" s="31" t="n">
        <v>0.0109187530734217</v>
      </c>
      <c r="B21" s="33" t="n">
        <v>0.58894089452217</v>
      </c>
      <c r="C21" s="32" t="n">
        <v>0.946001226997373</v>
      </c>
      <c r="E21" s="16" t="n">
        <v>0.85</v>
      </c>
      <c r="F21" s="17" t="n">
        <v>2.64173867266356</v>
      </c>
      <c r="G21" s="17" t="n">
        <v>0.908497526315803</v>
      </c>
    </row>
    <row r="22" customFormat="false" ht="15" hidden="false" customHeight="false" outlineLevel="0" collapsed="false">
      <c r="A22" s="31" t="n">
        <v>0.0126782368214598</v>
      </c>
      <c r="B22" s="33" t="n">
        <v>0.590299316202863</v>
      </c>
      <c r="C22" s="32" t="n">
        <v>0.939182770821766</v>
      </c>
      <c r="E22" s="16" t="n">
        <v>0.9</v>
      </c>
      <c r="F22" s="17" t="n">
        <v>2.73058766486603</v>
      </c>
      <c r="G22" s="17" t="n">
        <v>0.939052815704138</v>
      </c>
    </row>
    <row r="23" customFormat="false" ht="15" hidden="false" customHeight="false" outlineLevel="0" collapsed="false">
      <c r="A23" s="31" t="n">
        <v>0.0147212495621212</v>
      </c>
      <c r="B23" s="33" t="n">
        <v>0.591797863318852</v>
      </c>
      <c r="C23" s="32" t="n">
        <v>0.931566943185061</v>
      </c>
      <c r="E23" s="16" t="n">
        <v>0.95</v>
      </c>
      <c r="F23" s="17" t="n">
        <v>2.8192723229617</v>
      </c>
      <c r="G23" s="17" t="n">
        <v>0.969551590369404</v>
      </c>
    </row>
    <row r="24" customFormat="false" ht="15" hidden="false" customHeight="false" outlineLevel="0" collapsed="false">
      <c r="A24" s="31" t="n">
        <v>0.0170934800889215</v>
      </c>
      <c r="B24" s="33" t="n">
        <v>0.59344752968076</v>
      </c>
      <c r="C24" s="32" t="n">
        <v>0.923073101078901</v>
      </c>
      <c r="E24" s="16" t="n">
        <v>1</v>
      </c>
      <c r="F24" s="17" t="n">
        <v>2.90781052907927</v>
      </c>
      <c r="G24" s="17" t="n">
        <v>1</v>
      </c>
    </row>
    <row r="25" customFormat="false" ht="15" hidden="false" customHeight="false" outlineLevel="0" collapsed="false">
      <c r="A25" s="31" t="n">
        <v>0.0198479796376913</v>
      </c>
      <c r="B25" s="33" t="n">
        <v>0.595259503394157</v>
      </c>
      <c r="C25" s="32" t="n">
        <v>0.913615069316814</v>
      </c>
    </row>
    <row r="26" customFormat="false" ht="15" hidden="false" customHeight="false" outlineLevel="0" collapsed="false">
      <c r="A26" s="31" t="n">
        <v>0.0230463482947238</v>
      </c>
      <c r="B26" s="33" t="n">
        <v>0.597245016583342</v>
      </c>
      <c r="C26" s="32" t="n">
        <v>0.903101366673764</v>
      </c>
    </row>
    <row r="27" customFormat="false" ht="15" hidden="false" customHeight="false" outlineLevel="0" collapsed="false">
      <c r="A27" s="31" t="n">
        <v>0.0267601125866279</v>
      </c>
      <c r="B27" s="33" t="n">
        <v>0.599415158755064</v>
      </c>
      <c r="C27" s="32" t="n">
        <v>0.891435619641988</v>
      </c>
    </row>
    <row r="28" customFormat="false" ht="15" hidden="false" customHeight="false" outlineLevel="0" collapsed="false">
      <c r="A28" s="31" t="n">
        <v>0.0310723250595386</v>
      </c>
      <c r="B28" s="33" t="n">
        <v>0.601780649680794</v>
      </c>
      <c r="C28" s="32" t="n">
        <v>0.878517208702097</v>
      </c>
    </row>
    <row r="29" customFormat="false" ht="15" hidden="false" customHeight="false" outlineLevel="0" collapsed="false">
      <c r="A29" s="31" t="n">
        <v>0.0360794216197763</v>
      </c>
      <c r="B29" s="33" t="n">
        <v>0.604351567979417</v>
      </c>
      <c r="C29" s="32" t="n">
        <v>0.864242198439214</v>
      </c>
    </row>
    <row r="30" customFormat="false" ht="15" hidden="false" customHeight="false" outlineLevel="0" collapsed="false">
      <c r="A30" s="31" t="n">
        <v>0.0418933781724833</v>
      </c>
      <c r="B30" s="33" t="n">
        <v>0.607137032181322</v>
      </c>
      <c r="C30" s="32" t="n">
        <v>0.848504609182747</v>
      </c>
    </row>
    <row r="31" customFormat="false" ht="15" hidden="false" customHeight="false" outlineLevel="0" collapsed="false">
      <c r="A31" s="31" t="n">
        <v>0.0486442147880968</v>
      </c>
      <c r="B31" s="33" t="n">
        <v>0.610143233826245</v>
      </c>
      <c r="C31" s="32" t="n">
        <v>0.831198093639455</v>
      </c>
    </row>
    <row r="32" customFormat="false" ht="15" hidden="false" customHeight="false" outlineLevel="0" collapsed="false">
      <c r="A32" s="31" t="n">
        <v>0.0564829033984354</v>
      </c>
      <c r="B32" s="33" t="n">
        <v>0.613377262589377</v>
      </c>
      <c r="C32" s="32" t="n">
        <v>0.812218086530342</v>
      </c>
    </row>
    <row r="33" customFormat="false" ht="15" hidden="false" customHeight="false" outlineLevel="0" collapsed="false">
      <c r="A33" s="31" t="n">
        <v>0.0655847440484876</v>
      </c>
      <c r="B33" s="33" t="n">
        <v>0.616842988473331</v>
      </c>
      <c r="C33" s="32" t="n">
        <v>0.791464497559914</v>
      </c>
    </row>
    <row r="34" customFormat="false" ht="15" hidden="false" customHeight="false" outlineLevel="0" collapsed="false">
      <c r="A34" s="31" t="n">
        <v>0.0761532852085076</v>
      </c>
      <c r="B34" s="33" t="n">
        <v>0.62054143628366</v>
      </c>
      <c r="C34" s="32" t="n">
        <v>0.768845016816333</v>
      </c>
    </row>
    <row r="35" customFormat="false" ht="15" hidden="false" customHeight="false" outlineLevel="0" collapsed="false">
      <c r="A35" s="31" t="n">
        <v>0.0884248758180833</v>
      </c>
      <c r="B35" s="33" t="n">
        <v>0.624470347888569</v>
      </c>
      <c r="C35" s="32" t="n">
        <v>0.744279095168773</v>
      </c>
    </row>
    <row r="36" customFormat="false" ht="15" hidden="false" customHeight="false" outlineLevel="0" collapsed="false">
      <c r="A36" s="31" t="n">
        <v>0.102673950861544</v>
      </c>
      <c r="B36" s="33" t="n">
        <v>0.628623608127862</v>
      </c>
      <c r="C36" s="32" t="n">
        <v>0.717702648139242</v>
      </c>
    </row>
    <row r="37" customFormat="false" ht="15" hidden="false" customHeight="false" outlineLevel="0" collapsed="false">
      <c r="A37" s="31" t="n">
        <v>0.119219168678356</v>
      </c>
      <c r="B37" s="33" t="n">
        <v>0.632990663865204</v>
      </c>
      <c r="C37" s="32" t="n">
        <v>0.689073507275891</v>
      </c>
    </row>
    <row r="38" customFormat="false" ht="15" hidden="false" customHeight="false" outlineLevel="0" collapsed="false">
      <c r="A38" s="31" t="n">
        <v>0.138430537259882</v>
      </c>
      <c r="B38" s="33" t="n">
        <v>0.637555960560158</v>
      </c>
      <c r="C38" s="32" t="n">
        <v>0.658377604891228</v>
      </c>
    </row>
    <row r="39" customFormat="false" ht="15" hidden="false" customHeight="false" outlineLevel="0" collapsed="false">
      <c r="A39" s="31" t="n">
        <v>0.160737688901019</v>
      </c>
      <c r="B39" s="33" t="n">
        <v>0.642298428241314</v>
      </c>
      <c r="C39" s="32" t="n">
        <v>0.625635822348224</v>
      </c>
    </row>
    <row r="40" customFormat="false" ht="15" hidden="false" customHeight="false" outlineLevel="0" collapsed="false">
      <c r="A40" s="31" t="n">
        <v>0.186639488256384</v>
      </c>
      <c r="B40" s="33" t="n">
        <v>0.647191056996101</v>
      </c>
      <c r="C40" s="32" t="n">
        <v>0.590911354884235</v>
      </c>
    </row>
    <row r="41" customFormat="false" ht="15" hidden="false" customHeight="false" outlineLevel="0" collapsed="false">
      <c r="A41" s="31" t="n">
        <v>0.216715188670254</v>
      </c>
      <c r="B41" s="33" t="n">
        <v>0.652200610629809</v>
      </c>
      <c r="C41" s="32" t="n">
        <v>0.554317343579971</v>
      </c>
    </row>
    <row r="42" customFormat="false" ht="15" hidden="false" customHeight="false" outlineLevel="0" collapsed="false">
      <c r="A42" s="31" t="n">
        <v>0.251637386274163</v>
      </c>
      <c r="B42" s="33" t="n">
        <v>0.657287535272701</v>
      </c>
      <c r="C42" s="32" t="n">
        <v>0.516024395032891</v>
      </c>
    </row>
    <row r="43" customFormat="false" ht="15" hidden="false" customHeight="false" outlineLevel="0" collapsed="false">
      <c r="A43" s="31" t="n">
        <v>0.292187061550354</v>
      </c>
      <c r="B43" s="33" t="n">
        <v>0.662406126341922</v>
      </c>
      <c r="C43" s="32" t="n">
        <v>0.476267451699933</v>
      </c>
    </row>
    <row r="44" customFormat="false" ht="15" hidden="false" customHeight="false" outlineLevel="0" collapsed="false">
      <c r="A44" s="31" t="n">
        <v>0.339271044742195</v>
      </c>
      <c r="B44" s="33" t="n">
        <v>0.667505020846813</v>
      </c>
      <c r="C44" s="32" t="n">
        <v>0.43535129547812</v>
      </c>
    </row>
    <row r="45" customFormat="false" ht="15" hidden="false" customHeight="false" outlineLevel="0" collapsed="false">
      <c r="A45" s="31" t="n">
        <v>0.39394229569821</v>
      </c>
      <c r="B45" s="33" t="n">
        <v>0.672526269399698</v>
      </c>
      <c r="C45" s="32" t="n">
        <v>0.393653776011565</v>
      </c>
    </row>
    <row r="46" customFormat="false" ht="15" hidden="false" customHeight="false" outlineLevel="0" collapsed="false">
      <c r="A46" s="31" t="n">
        <v>0.45742345167682</v>
      </c>
      <c r="B46" s="33" t="n">
        <v>0.677407197757734</v>
      </c>
      <c r="C46" s="32" t="n">
        <v>0.351625676310468</v>
      </c>
    </row>
    <row r="47" customFormat="false" ht="15" hidden="false" customHeight="false" outlineLevel="0" collapsed="false">
      <c r="A47" s="31" t="n">
        <v>0.531134169721718</v>
      </c>
      <c r="B47" s="33" t="n">
        <v>0.682091104589113</v>
      </c>
      <c r="C47" s="32" t="n">
        <v>0.30978599872001</v>
      </c>
    </row>
    <row r="48" customFormat="false" ht="15" hidden="false" customHeight="false" outlineLevel="0" collapsed="false">
      <c r="A48" s="31" t="n">
        <v>0.616722875077448</v>
      </c>
      <c r="B48" s="33" t="n">
        <v>0.686517700564339</v>
      </c>
      <c r="C48" s="32" t="n">
        <v>0.268711428375415</v>
      </c>
    </row>
    <row r="49" customFormat="false" ht="15" hidden="false" customHeight="false" outlineLevel="0" collapsed="false">
      <c r="A49" s="31" t="n">
        <v>0.716103625649</v>
      </c>
      <c r="B49" s="33" t="n">
        <v>0.690630169934122</v>
      </c>
      <c r="C49" s="32" t="n">
        <v>0.229018880610733</v>
      </c>
    </row>
    <row r="50" customFormat="false" ht="15" hidden="false" customHeight="false" outlineLevel="0" collapsed="false">
      <c r="A50" s="31" t="n">
        <v>0.831498916921552</v>
      </c>
      <c r="B50" s="33" t="n">
        <v>0.694378226245563</v>
      </c>
      <c r="C50" s="32" t="n">
        <v>0.191340446907739</v>
      </c>
    </row>
    <row r="51" customFormat="false" ht="15" hidden="false" customHeight="false" outlineLevel="0" collapsed="false">
      <c r="A51" s="31" t="n">
        <v>0.965489384605629</v>
      </c>
      <c r="B51" s="33" t="n">
        <v>0.697721290897148</v>
      </c>
      <c r="C51" s="32" t="n">
        <v>0.156290801668999</v>
      </c>
    </row>
    <row r="52" customFormat="false" ht="15" hidden="false" customHeight="false" outlineLevel="0" collapsed="false">
      <c r="A52" s="31" t="n">
        <v>1.12107151652983</v>
      </c>
      <c r="B52" s="33" t="n">
        <v>0.700631513410051</v>
      </c>
      <c r="C52" s="32" t="n">
        <v>0.124428269199496</v>
      </c>
    </row>
    <row r="53" customFormat="false" ht="15" hidden="false" customHeight="false" outlineLevel="0" collapsed="false">
      <c r="A53" s="31" t="n">
        <v>1.30172466441758</v>
      </c>
      <c r="B53" s="33" t="n">
        <v>0.703096275551466</v>
      </c>
      <c r="C53" s="32" t="n">
        <v>0.0962122518494158</v>
      </c>
    </row>
    <row r="54" customFormat="false" ht="15" hidden="false" customHeight="false" outlineLevel="0" collapsed="false">
      <c r="A54" s="31" t="n">
        <v>1.51148885416176</v>
      </c>
      <c r="B54" s="33" t="n">
        <v>0.705119775755431</v>
      </c>
      <c r="C54" s="32" t="n">
        <v>0.0719614310920637</v>
      </c>
    </row>
    <row r="55" customFormat="false" ht="15" hidden="false" customHeight="false" outlineLevel="0" collapsed="false">
      <c r="A55" s="31" t="n">
        <v>1.7550551347027</v>
      </c>
      <c r="B55" s="33" t="n">
        <v>0.706723303297694</v>
      </c>
      <c r="C55" s="32" t="n">
        <v>0.0518187361468644</v>
      </c>
    </row>
    <row r="56" customFormat="false" ht="15" hidden="false" customHeight="false" outlineLevel="0" collapsed="false">
      <c r="A56" s="31" t="n">
        <v>2.03787048602125</v>
      </c>
      <c r="B56" s="33" t="n">
        <v>0.707943910841903</v>
      </c>
      <c r="C56" s="32" t="n">
        <v>0.0357299947763476</v>
      </c>
    </row>
    <row r="57" customFormat="false" ht="15" hidden="false" customHeight="false" outlineLevel="0" collapsed="false">
      <c r="A57" s="31" t="n">
        <v>2.3662596323505</v>
      </c>
      <c r="B57" s="33" t="n">
        <v>0.708831395746813</v>
      </c>
      <c r="C57" s="32" t="n">
        <v>0.0234427747208725</v>
      </c>
    </row>
    <row r="58" customFormat="false" ht="15" hidden="false" customHeight="false" outlineLevel="0" collapsed="false">
      <c r="A58" s="31" t="n">
        <v>2.74756648476882</v>
      </c>
      <c r="B58" s="33" t="n">
        <v>0.709443795614982</v>
      </c>
      <c r="C58" s="32" t="n">
        <v>0.014529602043232</v>
      </c>
    </row>
    <row r="59" customFormat="false" ht="15" hidden="false" customHeight="false" outlineLevel="0" collapsed="false">
      <c r="A59" s="31" t="n">
        <v>3.19031837631699</v>
      </c>
      <c r="B59" s="33" t="n">
        <v>0.709841942992282</v>
      </c>
      <c r="C59" s="32" t="n">
        <v>0.00843533133749581</v>
      </c>
    </row>
    <row r="60" customFormat="false" ht="15" hidden="false" customHeight="false" outlineLevel="0" collapsed="false">
      <c r="A60" s="31" t="n">
        <v>3.70441676250184</v>
      </c>
      <c r="B60" s="33" t="n">
        <v>0.710083297814694</v>
      </c>
      <c r="C60" s="32" t="n">
        <v>0.00454257854678033</v>
      </c>
    </row>
    <row r="61" customFormat="false" ht="15" hidden="false" customHeight="false" outlineLevel="0" collapsed="false">
      <c r="A61" s="31" t="n">
        <v>4.30135865190564</v>
      </c>
      <c r="B61" s="33" t="n">
        <v>0.710219381497255</v>
      </c>
      <c r="C61" s="32" t="n">
        <v>0.00224346329779067</v>
      </c>
    </row>
    <row r="62" customFormat="false" ht="15" hidden="false" customHeight="false" outlineLevel="0" collapsed="false">
      <c r="A62" s="31" t="n">
        <v>4.99449371885145</v>
      </c>
      <c r="B62" s="33" t="n">
        <v>0.710290544777671</v>
      </c>
      <c r="C62" s="32" t="n">
        <v>0.00100281235501789</v>
      </c>
    </row>
    <row r="63" customFormat="false" ht="15" hidden="false" customHeight="false" outlineLevel="0" collapsed="false">
      <c r="A63" s="31" t="n">
        <v>5.79932284804829</v>
      </c>
      <c r="B63" s="33" t="n">
        <v>0.710325323319857</v>
      </c>
      <c r="C63" s="32" t="n">
        <v>0.000399526279868014</v>
      </c>
    </row>
    <row r="64" customFormat="false" ht="15" hidden="false" customHeight="false" outlineLevel="0" collapsed="false">
      <c r="A64" s="31" t="n">
        <v>6.73384478770136</v>
      </c>
      <c r="B64" s="33" t="n">
        <v>0.710342036594481</v>
      </c>
      <c r="C64" s="32" t="n">
        <v>0.000139366302125243</v>
      </c>
    </row>
    <row r="65" customFormat="false" ht="15" hidden="false" customHeight="false" outlineLevel="0" collapsed="false">
      <c r="A65" s="31" t="n">
        <v>7.81895866344345</v>
      </c>
      <c r="B65" s="33" t="n">
        <v>0.710351105053317</v>
      </c>
      <c r="C65" s="32" t="n">
        <v>4.16930374467394E-005</v>
      </c>
    </row>
    <row r="66" customFormat="false" ht="15" hidden="false" customHeight="false" outlineLevel="0" collapsed="false">
      <c r="A66" s="31" t="n">
        <v>9.07893135468401</v>
      </c>
      <c r="B66" s="33" t="n">
        <v>0.710357723165527</v>
      </c>
      <c r="C66" s="32" t="n">
        <v>1.04426230026579E-005</v>
      </c>
    </row>
    <row r="67" customFormat="false" ht="15" hidden="false" customHeight="false" outlineLevel="0" collapsed="false">
      <c r="A67" s="31" t="n">
        <v>10.5419401855188</v>
      </c>
      <c r="B67" s="33" t="n">
        <v>0.710364153365868</v>
      </c>
      <c r="C67" s="32" t="n">
        <v>2.12934587029853E-006</v>
      </c>
    </row>
    <row r="68" customFormat="false" ht="15" hidden="false" customHeight="false" outlineLevel="0" collapsed="false">
      <c r="A68" s="31" t="n">
        <v>12.2407030666357</v>
      </c>
      <c r="B68" s="33" t="n">
        <v>0.710371287349067</v>
      </c>
      <c r="C68" s="32" t="n">
        <v>3.42177809020532E-007</v>
      </c>
    </row>
    <row r="69" customFormat="false" ht="15" hidden="false" customHeight="false" outlineLevel="0" collapsed="false">
      <c r="A69" s="31" t="n">
        <v>14.2132101803583</v>
      </c>
      <c r="B69" s="33" t="n">
        <v>0.710379500225859</v>
      </c>
      <c r="C69" s="32" t="n">
        <v>4.17267125514354E-008</v>
      </c>
    </row>
    <row r="70" customFormat="false" ht="15" hidden="false" customHeight="false" outlineLevel="0" collapsed="false">
      <c r="A70" s="31" t="n">
        <v>16.5035735718214</v>
      </c>
      <c r="B70" s="33" t="n">
        <v>0.710389024882073</v>
      </c>
      <c r="C70" s="32" t="n">
        <v>3.69538746631243E-009</v>
      </c>
    </row>
    <row r="71" customFormat="false" ht="15" hidden="false" customHeight="false" outlineLevel="0" collapsed="false">
      <c r="A71" s="31" t="n">
        <v>19.1630136460597</v>
      </c>
      <c r="B71" s="33" t="n">
        <v>0.710400082935264</v>
      </c>
      <c r="C71" s="32" t="n">
        <v>2.25852961254674E-010</v>
      </c>
    </row>
    <row r="72" customFormat="false" ht="15" hidden="false" customHeight="false" outlineLevel="0" collapsed="false">
      <c r="A72" s="31" t="n">
        <v>22.2510046324799</v>
      </c>
      <c r="B72" s="33" t="n">
        <v>0.710412922809111</v>
      </c>
      <c r="C72" s="32" t="n">
        <v>8.97758658398466E-012</v>
      </c>
    </row>
    <row r="73" customFormat="false" ht="15" hidden="false" customHeight="false" outlineLevel="0" collapsed="false">
      <c r="A73" s="31" t="n">
        <v>25.8366046332408</v>
      </c>
      <c r="B73" s="33" t="n">
        <v>0.710427832914435</v>
      </c>
      <c r="C73" s="32" t="n">
        <v>2.16642030482381E-013</v>
      </c>
    </row>
    <row r="74" customFormat="false" ht="15" hidden="false" customHeight="false" outlineLevel="0" collapsed="false">
      <c r="A74" s="31" t="n">
        <v>30</v>
      </c>
      <c r="B74" s="33" t="n">
        <v>0.710446089999998</v>
      </c>
      <c r="C74" s="32" t="n">
        <v>2.92966936773738E-015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2026-10-26T06:07:44Z</dcterms:created>
  <dc:creator>openpyxl</dc:creator>
  <dc:description/>
  <dc:language>en-US</dc:language>
  <cp:lastModifiedBy/>
  <dcterms:modified xsi:type="dcterms:W3CDTF">2026-10-26T06:07:49Z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